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AnikaHalder\Documents\Bitbucket\eta-modeling\03_ETA_Models\05_Simulation_Study_Automation_Toolkit\02_Results_Excel_SSAT\FAR001 v8.1.2\"/>
    </mc:Choice>
  </mc:AlternateContent>
  <xr:revisionPtr revIDLastSave="0" documentId="13_ncr:1_{A1021B20-09DF-4CCE-82AF-8E96FE4905CD}" xr6:coauthVersionLast="47" xr6:coauthVersionMax="47" xr10:uidLastSave="{00000000-0000-0000-0000-000000000000}"/>
  <bookViews>
    <workbookView xWindow="1520" yWindow="1520" windowWidth="14400" windowHeight="8260" xr2:uid="{F353402F-CC35-42A2-A3C3-9903D80C33CF}"/>
  </bookViews>
  <sheets>
    <sheet name="Simulation Matrix" sheetId="1" r:id="rId1"/>
    <sheet name="Config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7" i="1" l="1"/>
  <c r="A26" i="1"/>
  <c r="D17" i="1"/>
  <c r="M19" i="2"/>
  <c r="M15" i="2"/>
  <c r="B17" i="1"/>
  <c r="F17" i="1"/>
  <c r="H17" i="1"/>
  <c r="K17" i="1"/>
  <c r="L17" i="1"/>
  <c r="M17" i="1"/>
  <c r="N17" i="1"/>
  <c r="O17" i="1"/>
  <c r="R17" i="1"/>
  <c r="C8" i="2" l="1" a="1"/>
  <c r="C8" i="2" s="1"/>
  <c r="E17" i="1" s="1"/>
  <c r="K19" i="2" l="1"/>
  <c r="K15" i="2"/>
  <c r="C10" i="2"/>
  <c r="K3" i="2" l="1"/>
  <c r="M7" i="2"/>
  <c r="K7" i="2"/>
  <c r="M3" i="2"/>
  <c r="C20" i="2" a="1"/>
  <c r="C20" i="2" s="1"/>
  <c r="C17" i="1" s="1"/>
  <c r="C15" i="2" a="1"/>
  <c r="C15" i="2" s="1"/>
  <c r="C14" i="2" a="1"/>
  <c r="C14" i="2" s="1"/>
  <c r="C16" i="2"/>
  <c r="C9" i="2" a="1"/>
  <c r="C9" i="2" s="1"/>
  <c r="G17" i="1" s="1"/>
  <c r="K18" i="2" l="1"/>
  <c r="K20" i="2" s="1"/>
  <c r="M18" i="2"/>
  <c r="M20" i="2" s="1"/>
  <c r="K14" i="2"/>
  <c r="K16" i="2" s="1"/>
  <c r="M14" i="2"/>
  <c r="M16" i="2" s="1"/>
  <c r="C17" i="2"/>
  <c r="P17" i="1" s="1"/>
  <c r="Q17" i="1" s="1"/>
  <c r="C11" i="2"/>
  <c r="I17" i="1" s="1"/>
  <c r="J17" i="1" s="1"/>
  <c r="M2" i="2"/>
  <c r="M4" i="2" s="1"/>
  <c r="M6" i="2"/>
  <c r="M8" i="2" s="1"/>
  <c r="K10" i="2"/>
  <c r="M10" i="2"/>
  <c r="K11" i="2"/>
  <c r="M11" i="2"/>
  <c r="R10" i="2" s="1"/>
  <c r="K2" i="2"/>
  <c r="K4" i="2" s="1"/>
  <c r="K6" i="2"/>
  <c r="K8" i="2" s="1"/>
  <c r="R16" i="2" l="1"/>
  <c r="R20" i="2"/>
  <c r="R7" i="2"/>
  <c r="K12" i="2"/>
  <c r="R9" i="2" s="1"/>
  <c r="R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<sst xmlns="http://schemas.openxmlformats.org/spreadsheetml/2006/main" count="222" uniqueCount="99">
  <si>
    <t>Settings: add new simulation test case</t>
  </si>
  <si>
    <t>x</t>
  </si>
  <si>
    <t>Info:</t>
  </si>
  <si>
    <t>General</t>
  </si>
  <si>
    <t>Charge</t>
  </si>
  <si>
    <t>Discharge</t>
  </si>
  <si>
    <t>No value or wrong type of value (e.g. letters, symbols)</t>
  </si>
  <si>
    <t>Out of boundaries or model specifications</t>
  </si>
  <si>
    <t>Temperature / °C</t>
  </si>
  <si>
    <t>Charge value</t>
  </si>
  <si>
    <t>Correct value inside model specifications</t>
  </si>
  <si>
    <t>Upper boundary in 0…1 or V</t>
  </si>
  <si>
    <t>Cutoff Current / A</t>
  </si>
  <si>
    <t>Lower boundary in 0…1 or V</t>
  </si>
  <si>
    <t xml:space="preserve">EFC, Cycles, </t>
  </si>
  <si>
    <t>Time, or SOHc</t>
  </si>
  <si>
    <t>Pause time / s</t>
  </si>
  <si>
    <t>Ambient
Temperature in °C</t>
  </si>
  <si>
    <t>Stop Criteria 
[EFC, Cycles, 
Days or SOHc]</t>
  </si>
  <si>
    <t>Value Stop
Criteria</t>
  </si>
  <si>
    <t>Current or Power</t>
  </si>
  <si>
    <t>Value 
in A or W</t>
  </si>
  <si>
    <t>Charge 
Upper Bound 
(SOC or U)</t>
  </si>
  <si>
    <t>Upper limit 
in % or V</t>
  </si>
  <si>
    <t>CV Phase 
(on/off)</t>
  </si>
  <si>
    <t>CV Cutoff Current / A</t>
  </si>
  <si>
    <t>Pause after 
charge in s</t>
  </si>
  <si>
    <t>Discharge Lower Bound 
(SOC or U)</t>
  </si>
  <si>
    <t>Lower 
limit 
in % or V</t>
  </si>
  <si>
    <t>Pause after 
discharge in s</t>
  </si>
  <si>
    <t>New testcase to be added</t>
  </si>
  <si>
    <t>Simulation Number</t>
  </si>
  <si>
    <t>-</t>
  </si>
  <si>
    <t>EFC / -</t>
  </si>
  <si>
    <t>Current / A</t>
  </si>
  <si>
    <t>SOC / 0…1</t>
  </si>
  <si>
    <t>Power / W</t>
  </si>
  <si>
    <t>Voltage / V</t>
  </si>
  <si>
    <t>Cycles / -</t>
  </si>
  <si>
    <t>off</t>
  </si>
  <si>
    <t>Macro</t>
  </si>
  <si>
    <t>Rules</t>
  </si>
  <si>
    <t>Capacity</t>
  </si>
  <si>
    <t>Charge
 limits</t>
  </si>
  <si>
    <t>Voltage Limit</t>
  </si>
  <si>
    <t>between</t>
  </si>
  <si>
    <t xml:space="preserve">and </t>
  </si>
  <si>
    <t>Charge voltage oob?</t>
  </si>
  <si>
    <t>Discharge Voltage oob?</t>
  </si>
  <si>
    <t>Charge limit / A</t>
  </si>
  <si>
    <t>Condition</t>
  </si>
  <si>
    <t>Discharge limit / A</t>
  </si>
  <si>
    <t>Power</t>
  </si>
  <si>
    <t>Current</t>
  </si>
  <si>
    <t>Discharge 
limits</t>
  </si>
  <si>
    <t>Charge Setting</t>
  </si>
  <si>
    <t>Charge:</t>
  </si>
  <si>
    <t>Charge SOC oob?</t>
  </si>
  <si>
    <t>Discharge SOC oob?</t>
  </si>
  <si>
    <t>Discharge Setting</t>
  </si>
  <si>
    <t>greater equal</t>
  </si>
  <si>
    <t>Voltage or SOC</t>
  </si>
  <si>
    <t>EFC, Cycles, Time Setting</t>
  </si>
  <si>
    <t>CV?</t>
  </si>
  <si>
    <t>Time / h</t>
  </si>
  <si>
    <t>Stop 
Condition</t>
  </si>
  <si>
    <t>SOHc Setting</t>
  </si>
  <si>
    <t>Pause after Charge</t>
  </si>
  <si>
    <t>bigger than</t>
  </si>
  <si>
    <t>SOHc / 0…1</t>
  </si>
  <si>
    <t>Pause after discharge</t>
  </si>
  <si>
    <t>EFC, Cycles, Time?</t>
  </si>
  <si>
    <t>smaller than</t>
  </si>
  <si>
    <t>Current limit</t>
  </si>
  <si>
    <t>Charge
 condition</t>
  </si>
  <si>
    <t>Charge limit / W</t>
  </si>
  <si>
    <t>Current range</t>
  </si>
  <si>
    <t>Power range</t>
  </si>
  <si>
    <t>Discharge limit / W</t>
  </si>
  <si>
    <t>Result</t>
  </si>
  <si>
    <t>Charge condition?</t>
  </si>
  <si>
    <t>Discharge
 condition</t>
  </si>
  <si>
    <t>Stop Condition</t>
  </si>
  <si>
    <t>EFC, t, Cycle or SOHc</t>
  </si>
  <si>
    <t>Discharge condition?</t>
  </si>
  <si>
    <t>Model Specifications (TO BE ADAPTED)</t>
  </si>
  <si>
    <t>Necessary rows for macros (locked)</t>
  </si>
  <si>
    <t/>
  </si>
  <si>
    <t>Please keep this row as placeholder for functionality</t>
  </si>
  <si>
    <t>In order to add new test cases, all settings shall be adapted and a new test case will be added when clicking the "Add testcase" button</t>
  </si>
  <si>
    <t>This is the resulting test matrix to be simulated. The individual rows can still be manually modified, or deleted (in which case the "Simulation numbers" must be manually adapted)</t>
  </si>
  <si>
    <t>Results: test cases to be simulated</t>
  </si>
  <si>
    <t>Preview: new test case to be added</t>
  </si>
  <si>
    <t>Discharge value</t>
  </si>
  <si>
    <t>Legend:</t>
  </si>
  <si>
    <t xml:space="preserve">Note: </t>
  </si>
  <si>
    <t>Excel macros must be enabled. Please click on "Enable Content" and check if necessary in the document properties for "Unblock" (under "Security") to be checked</t>
  </si>
  <si>
    <t>SOHc / -</t>
  </si>
  <si>
    <t>When using the TWAICE Simulation Study Automation Toolkit, default fitted parameters are set for the thermal model. Also, only charge-pause-discharge-pause cycles can be generated, without the additional feature of enabling a resting SOC in between. If these settings are to be changed, the Simulink masks should be used directly instead of the Simulation Study Automation Toolkit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</si>
</sst>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6"/>
      <color theme="0"/>
      <name val="Helvetica"/>
      <family val="2"/>
    </font>
    <font>
      <b/>
      <sz val="16"/>
      <color theme="0"/>
      <name val="Times New Roman"/>
      <family val="1"/>
    </font>
    <font>
      <sz val="14"/>
      <color theme="0" tint="-0.14999847407452621"/>
      <name val="Calibri"/>
      <family val="2"/>
      <scheme val="minor"/>
    </font>
    <font>
      <sz val="14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FFFFCC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4"/>
      <color theme="0" tint="-0.14999847407452621"/>
      <name val="Calibri"/>
      <family val="2"/>
      <scheme val="minor"/>
    </font>
    <font>
      <sz val="18"/>
      <color theme="0"/>
      <name val="Calibri"/>
      <family val="2"/>
      <scheme val="minor"/>
    </font>
    <font>
      <sz val="16"/>
      <color theme="1" tint="0.249977111117893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DF2F7"/>
        <bgColor indexed="64"/>
      </patternFill>
    </fill>
    <fill>
      <patternFill patternType="solid">
        <fgColor rgb="FF1661FD"/>
        <bgColor indexed="64"/>
      </patternFill>
    </fill>
    <fill>
      <patternFill patternType="solid">
        <fgColor rgb="FF1661FD"/>
        <bgColor auto="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lightHorizontal">
        <bgColor rgb="FFFF0000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theme="2" tint="-9.9978637043366805E-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2" tint="-9.9978637043366805E-2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medium">
        <color theme="2" tint="-9.9978637043366805E-2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medium">
        <color theme="0"/>
      </left>
      <right/>
      <top style="thick">
        <color theme="0"/>
      </top>
      <bottom style="thin">
        <color theme="0" tint="-0.34998626667073579"/>
      </bottom>
      <diagonal/>
    </border>
    <border>
      <left/>
      <right/>
      <top style="thick">
        <color theme="0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double">
        <color indexed="64"/>
      </bottom>
      <diagonal/>
    </border>
    <border>
      <left/>
      <right style="thick">
        <color auto="1"/>
      </right>
      <top/>
      <bottom style="double">
        <color indexed="64"/>
      </bottom>
      <diagonal/>
    </border>
    <border>
      <left style="thick">
        <color auto="1"/>
      </left>
      <right/>
      <top/>
      <bottom style="double">
        <color indexed="64"/>
      </bottom>
      <diagonal/>
    </border>
    <border>
      <left style="thin">
        <color auto="1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n">
        <color theme="0" tint="-0.34998626667073579"/>
      </left>
      <right/>
      <top style="double">
        <color theme="1"/>
      </top>
      <bottom style="medium">
        <color indexed="64"/>
      </bottom>
      <diagonal/>
    </border>
    <border>
      <left/>
      <right/>
      <top style="double">
        <color theme="1"/>
      </top>
      <bottom style="medium">
        <color indexed="64"/>
      </bottom>
      <diagonal/>
    </border>
    <border>
      <left/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thin">
        <color theme="0" tint="-0.34998626667073579"/>
      </left>
      <right/>
      <top/>
      <bottom style="medium">
        <color theme="0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 style="thick">
        <color theme="0"/>
      </left>
      <right/>
      <top style="thick">
        <color theme="0"/>
      </top>
      <bottom style="thin">
        <color theme="0" tint="-0.34998626667073579"/>
      </bottom>
      <diagonal/>
    </border>
    <border>
      <left/>
      <right style="medium">
        <color theme="0"/>
      </right>
      <top style="thick">
        <color theme="0"/>
      </top>
      <bottom style="thin">
        <color theme="0" tint="-0.34998626667073579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 style="medium">
        <color theme="2" tint="-9.9978637043366805E-2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theme="2" tint="-9.9978637043366805E-2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medium">
        <color theme="2" tint="-9.9978637043366805E-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theme="2" tint="-9.9978637043366805E-2"/>
      </bottom>
      <diagonal/>
    </border>
    <border>
      <left/>
      <right/>
      <top style="medium">
        <color indexed="64"/>
      </top>
      <bottom style="medium">
        <color theme="2" tint="-9.9978637043366805E-2"/>
      </bottom>
      <diagonal/>
    </border>
    <border>
      <left/>
      <right style="medium">
        <color indexed="64"/>
      </right>
      <top style="medium">
        <color indexed="64"/>
      </top>
      <bottom style="medium">
        <color theme="2" tint="-9.9978637043366805E-2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/>
      <diagonal/>
    </border>
    <border>
      <left style="medium">
        <color indexed="64"/>
      </left>
      <right style="thin">
        <color theme="0"/>
      </right>
      <top/>
      <bottom style="medium">
        <color theme="2" tint="-9.9978637043366805E-2"/>
      </bottom>
      <diagonal/>
    </border>
  </borders>
  <cellStyleXfs count="2">
    <xf numFmtId="0" fontId="0" fillId="0" borderId="0"/>
    <xf numFmtId="0" fontId="4" fillId="4" borderId="0" applyNumberFormat="0" applyBorder="0" applyAlignment="0" applyProtection="0"/>
  </cellStyleXfs>
  <cellXfs count="145">
    <xf numFmtId="0" fontId="0" fillId="0" borderId="0" xfId="0"/>
    <xf numFmtId="0" fontId="0" fillId="2" borderId="0" xfId="0" applyFill="1"/>
    <xf numFmtId="0" fontId="5" fillId="0" borderId="0" xfId="0" applyFont="1"/>
    <xf numFmtId="0" fontId="0" fillId="0" borderId="27" xfId="0" applyBorder="1"/>
    <xf numFmtId="0" fontId="0" fillId="0" borderId="28" xfId="0" applyBorder="1"/>
    <xf numFmtId="0" fontId="5" fillId="6" borderId="29" xfId="0" applyFont="1" applyFill="1" applyBorder="1"/>
    <xf numFmtId="0" fontId="0" fillId="6" borderId="10" xfId="0" applyFill="1" applyBorder="1"/>
    <xf numFmtId="0" fontId="5" fillId="6" borderId="10" xfId="0" applyFont="1" applyFill="1" applyBorder="1"/>
    <xf numFmtId="0" fontId="0" fillId="6" borderId="30" xfId="0" applyFill="1" applyBorder="1"/>
    <xf numFmtId="0" fontId="5" fillId="6" borderId="31" xfId="0" applyFont="1" applyFill="1" applyBorder="1"/>
    <xf numFmtId="0" fontId="5" fillId="0" borderId="32" xfId="0" applyFont="1" applyBorder="1"/>
    <xf numFmtId="0" fontId="0" fillId="0" borderId="33" xfId="0" applyBorder="1"/>
    <xf numFmtId="0" fontId="5" fillId="6" borderId="34" xfId="0" applyFont="1" applyFill="1" applyBorder="1"/>
    <xf numFmtId="0" fontId="0" fillId="6" borderId="12" xfId="0" applyFill="1" applyBorder="1"/>
    <xf numFmtId="0" fontId="5" fillId="6" borderId="12" xfId="0" applyFont="1" applyFill="1" applyBorder="1"/>
    <xf numFmtId="0" fontId="0" fillId="6" borderId="35" xfId="0" applyFill="1" applyBorder="1"/>
    <xf numFmtId="0" fontId="5" fillId="6" borderId="36" xfId="0" applyFont="1" applyFill="1" applyBorder="1"/>
    <xf numFmtId="0" fontId="5" fillId="10" borderId="37" xfId="0" applyFont="1" applyFill="1" applyBorder="1"/>
    <xf numFmtId="0" fontId="0" fillId="10" borderId="38" xfId="0" applyFill="1" applyBorder="1"/>
    <xf numFmtId="0" fontId="5" fillId="10" borderId="4" xfId="0" applyFont="1" applyFill="1" applyBorder="1"/>
    <xf numFmtId="0" fontId="0" fillId="10" borderId="4" xfId="0" applyFill="1" applyBorder="1"/>
    <xf numFmtId="0" fontId="0" fillId="10" borderId="39" xfId="0" applyFill="1" applyBorder="1"/>
    <xf numFmtId="0" fontId="0" fillId="6" borderId="11" xfId="0" applyFill="1" applyBorder="1"/>
    <xf numFmtId="0" fontId="0" fillId="2" borderId="32" xfId="0" applyFill="1" applyBorder="1"/>
    <xf numFmtId="0" fontId="5" fillId="0" borderId="33" xfId="0" applyFont="1" applyBorder="1"/>
    <xf numFmtId="0" fontId="5" fillId="6" borderId="0" xfId="0" applyFont="1" applyFill="1"/>
    <xf numFmtId="0" fontId="0" fillId="6" borderId="0" xfId="0" applyFill="1"/>
    <xf numFmtId="0" fontId="0" fillId="6" borderId="2" xfId="0" applyFill="1" applyBorder="1"/>
    <xf numFmtId="0" fontId="5" fillId="10" borderId="40" xfId="0" applyFont="1" applyFill="1" applyBorder="1"/>
    <xf numFmtId="0" fontId="0" fillId="10" borderId="41" xfId="0" applyFill="1" applyBorder="1"/>
    <xf numFmtId="0" fontId="5" fillId="10" borderId="41" xfId="0" applyFont="1" applyFill="1" applyBorder="1"/>
    <xf numFmtId="0" fontId="0" fillId="10" borderId="42" xfId="0" applyFill="1" applyBorder="1"/>
    <xf numFmtId="0" fontId="0" fillId="0" borderId="3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5" fillId="0" borderId="46" xfId="0" applyFont="1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2" borderId="53" xfId="0" applyFill="1" applyBorder="1"/>
    <xf numFmtId="0" fontId="0" fillId="0" borderId="54" xfId="0" applyBorder="1"/>
    <xf numFmtId="0" fontId="5" fillId="0" borderId="51" xfId="0" applyFont="1" applyBorder="1"/>
    <xf numFmtId="0" fontId="2" fillId="7" borderId="1" xfId="0" applyFont="1" applyFill="1" applyBorder="1" applyAlignment="1" applyProtection="1">
      <alignment horizontal="left" vertical="center"/>
      <protection locked="0"/>
    </xf>
    <xf numFmtId="0" fontId="2" fillId="7" borderId="0" xfId="0" applyFont="1" applyFill="1" applyAlignment="1" applyProtection="1">
      <alignment horizontal="left" vertical="center"/>
      <protection locked="0"/>
    </xf>
    <xf numFmtId="0" fontId="2" fillId="7" borderId="2" xfId="0" applyFont="1" applyFill="1" applyBorder="1" applyAlignment="1" applyProtection="1">
      <alignment horizontal="left" vertical="center"/>
      <protection locked="0"/>
    </xf>
    <xf numFmtId="0" fontId="2" fillId="0" borderId="1" xfId="0" applyFont="1" applyBorder="1" applyAlignment="1" applyProtection="1">
      <alignment horizontal="left" vertical="center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2" fillId="0" borderId="2" xfId="0" applyFont="1" applyBorder="1" applyAlignment="1" applyProtection="1">
      <alignment horizontal="left" vertical="center"/>
      <protection locked="0"/>
    </xf>
    <xf numFmtId="0" fontId="2" fillId="2" borderId="0" xfId="0" applyFont="1" applyFill="1" applyAlignment="1" applyProtection="1">
      <alignment horizontal="left" vertical="center"/>
      <protection locked="0"/>
    </xf>
    <xf numFmtId="0" fontId="2" fillId="7" borderId="3" xfId="0" applyFont="1" applyFill="1" applyBorder="1" applyAlignment="1" applyProtection="1">
      <alignment horizontal="left" vertical="center"/>
      <protection locked="0"/>
    </xf>
    <xf numFmtId="0" fontId="2" fillId="2" borderId="4" xfId="0" applyFont="1" applyFill="1" applyBorder="1" applyAlignment="1" applyProtection="1">
      <alignment horizontal="center" vertical="center"/>
      <protection locked="0"/>
    </xf>
    <xf numFmtId="0" fontId="2" fillId="7" borderId="5" xfId="0" applyFont="1" applyFill="1" applyBorder="1" applyAlignment="1" applyProtection="1">
      <alignment horizontal="left" vertical="center"/>
      <protection locked="0"/>
    </xf>
    <xf numFmtId="0" fontId="2" fillId="7" borderId="4" xfId="0" applyFont="1" applyFill="1" applyBorder="1" applyAlignment="1" applyProtection="1">
      <alignment horizontal="left" vertical="center"/>
      <protection locked="0"/>
    </xf>
    <xf numFmtId="0" fontId="6" fillId="6" borderId="74" xfId="0" applyFont="1" applyFill="1" applyBorder="1" applyAlignment="1" applyProtection="1">
      <alignment horizontal="center" vertical="center"/>
      <protection locked="0"/>
    </xf>
    <xf numFmtId="0" fontId="6" fillId="6" borderId="4" xfId="0" applyFont="1" applyFill="1" applyBorder="1" applyAlignment="1" applyProtection="1">
      <alignment horizontal="center" vertical="center"/>
      <protection locked="0"/>
    </xf>
    <xf numFmtId="0" fontId="6" fillId="6" borderId="5" xfId="0" applyFont="1" applyFill="1" applyBorder="1" applyAlignment="1" applyProtection="1">
      <alignment horizontal="center" vertical="center"/>
      <protection locked="0"/>
    </xf>
    <xf numFmtId="0" fontId="6" fillId="6" borderId="3" xfId="0" applyFont="1" applyFill="1" applyBorder="1" applyAlignment="1" applyProtection="1">
      <alignment horizontal="center" vertical="center"/>
      <protection locked="0"/>
    </xf>
    <xf numFmtId="0" fontId="12" fillId="13" borderId="20" xfId="0" quotePrefix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15" fontId="9" fillId="11" borderId="0" xfId="0" applyNumberFormat="1" applyFont="1" applyFill="1"/>
    <xf numFmtId="15" fontId="1" fillId="0" borderId="0" xfId="0" applyNumberFormat="1" applyFont="1"/>
    <xf numFmtId="0" fontId="2" fillId="0" borderId="67" xfId="0" applyFont="1" applyBorder="1" applyAlignment="1">
      <alignment horizontal="left" vertical="center"/>
    </xf>
    <xf numFmtId="0" fontId="2" fillId="7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7" borderId="3" xfId="0" applyFont="1" applyFill="1" applyBorder="1" applyAlignment="1">
      <alignment horizontal="left" vertical="center"/>
    </xf>
    <xf numFmtId="0" fontId="1" fillId="0" borderId="0" xfId="0" applyFont="1"/>
    <xf numFmtId="0" fontId="2" fillId="11" borderId="1" xfId="0" applyFont="1" applyFill="1" applyBorder="1" applyAlignment="1">
      <alignment horizontal="left" vertical="center"/>
    </xf>
    <xf numFmtId="0" fontId="2" fillId="11" borderId="0" xfId="0" applyFont="1" applyFill="1" applyAlignment="1">
      <alignment horizontal="left" vertical="center"/>
    </xf>
    <xf numFmtId="0" fontId="2" fillId="11" borderId="65" xfId="0" applyFont="1" applyFill="1" applyBorder="1" applyAlignment="1">
      <alignment horizontal="left" vertical="center"/>
    </xf>
    <xf numFmtId="15" fontId="10" fillId="0" borderId="0" xfId="0" applyNumberFormat="1" applyFont="1"/>
    <xf numFmtId="0" fontId="6" fillId="6" borderId="64" xfId="0" applyFont="1" applyFill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13" fillId="6" borderId="20" xfId="0" applyFont="1" applyFill="1" applyBorder="1" applyAlignment="1" applyProtection="1">
      <alignment horizontal="center"/>
      <protection locked="0"/>
    </xf>
    <xf numFmtId="0" fontId="3" fillId="0" borderId="0" xfId="0" applyFont="1" applyAlignment="1">
      <alignment horizontal="left"/>
    </xf>
    <xf numFmtId="0" fontId="13" fillId="6" borderId="75" xfId="0" applyFont="1" applyFill="1" applyBorder="1" applyAlignment="1" applyProtection="1">
      <alignment horizontal="center"/>
      <protection locked="0"/>
    </xf>
    <xf numFmtId="0" fontId="13" fillId="6" borderId="76" xfId="0" applyFont="1" applyFill="1" applyBorder="1" applyAlignment="1" applyProtection="1">
      <alignment horizontal="center"/>
      <protection locked="0"/>
    </xf>
    <xf numFmtId="0" fontId="13" fillId="6" borderId="77" xfId="0" applyFont="1" applyFill="1" applyBorder="1" applyAlignment="1" applyProtection="1">
      <alignment horizontal="center"/>
      <protection locked="0"/>
    </xf>
    <xf numFmtId="0" fontId="16" fillId="11" borderId="0" xfId="1" applyFont="1" applyFill="1" applyBorder="1" applyAlignment="1" applyProtection="1">
      <alignment horizontal="center" vertical="top"/>
    </xf>
    <xf numFmtId="0" fontId="14" fillId="0" borderId="0" xfId="0" applyFont="1"/>
    <xf numFmtId="0" fontId="3" fillId="0" borderId="9" xfId="1" applyFont="1" applyFill="1" applyBorder="1" applyAlignment="1" applyProtection="1">
      <alignment horizontal="center" vertical="center"/>
    </xf>
    <xf numFmtId="0" fontId="16" fillId="0" borderId="0" xfId="1" applyFont="1" applyFill="1" applyBorder="1" applyAlignment="1" applyProtection="1">
      <alignment horizontal="center" vertical="top"/>
    </xf>
    <xf numFmtId="15" fontId="17" fillId="0" borderId="67" xfId="0" applyNumberFormat="1" applyFont="1" applyBorder="1" applyAlignment="1">
      <alignment vertical="center"/>
    </xf>
    <xf numFmtId="0" fontId="14" fillId="13" borderId="0" xfId="0" quotePrefix="1" applyFont="1" applyFill="1" applyAlignment="1">
      <alignment horizontal="center"/>
    </xf>
    <xf numFmtId="15" fontId="17" fillId="0" borderId="1" xfId="0" applyNumberFormat="1" applyFont="1" applyBorder="1" applyAlignment="1">
      <alignment vertical="center"/>
    </xf>
    <xf numFmtId="0" fontId="14" fillId="0" borderId="1" xfId="0" applyFont="1" applyBorder="1" applyAlignment="1">
      <alignment horizont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8" xfId="0" applyFont="1" applyBorder="1" applyAlignment="1">
      <alignment horizontal="center" vertical="center" wrapText="1"/>
    </xf>
    <xf numFmtId="0" fontId="14" fillId="13" borderId="20" xfId="0" applyFont="1" applyFill="1" applyBorder="1" applyAlignment="1">
      <alignment horizontal="center"/>
    </xf>
    <xf numFmtId="0" fontId="14" fillId="13" borderId="21" xfId="0" applyFont="1" applyFill="1" applyBorder="1" applyAlignment="1">
      <alignment horizontal="center"/>
    </xf>
    <xf numFmtId="0" fontId="14" fillId="13" borderId="22" xfId="0" applyFont="1" applyFill="1" applyBorder="1" applyAlignment="1">
      <alignment horizontal="center"/>
    </xf>
    <xf numFmtId="0" fontId="14" fillId="0" borderId="0" xfId="0" applyFont="1" applyProtection="1">
      <protection locked="0"/>
    </xf>
    <xf numFmtId="0" fontId="14" fillId="13" borderId="71" xfId="0" applyFont="1" applyFill="1" applyBorder="1" applyAlignment="1">
      <alignment horizontal="center"/>
    </xf>
    <xf numFmtId="0" fontId="14" fillId="13" borderId="72" xfId="0" applyFont="1" applyFill="1" applyBorder="1" applyAlignment="1">
      <alignment horizontal="center"/>
    </xf>
    <xf numFmtId="0" fontId="14" fillId="13" borderId="73" xfId="0" applyFont="1" applyFill="1" applyBorder="1" applyAlignment="1">
      <alignment horizontal="center"/>
    </xf>
    <xf numFmtId="0" fontId="14" fillId="0" borderId="0" xfId="0" applyFont="1" applyAlignment="1" applyProtection="1">
      <alignment horizontal="center"/>
      <protection locked="0"/>
    </xf>
    <xf numFmtId="15" fontId="4" fillId="12" borderId="0" xfId="0" applyNumberFormat="1" applyFont="1" applyFill="1" applyAlignment="1">
      <alignment vertical="center"/>
    </xf>
    <xf numFmtId="0" fontId="14" fillId="3" borderId="0" xfId="0" applyFont="1" applyFill="1" applyAlignment="1">
      <alignment vertical="center"/>
    </xf>
    <xf numFmtId="0" fontId="14" fillId="2" borderId="0" xfId="0" applyFont="1" applyFill="1" applyAlignment="1">
      <alignment vertical="center"/>
    </xf>
    <xf numFmtId="0" fontId="0" fillId="14" borderId="0" xfId="0" applyFill="1"/>
    <xf numFmtId="0" fontId="0" fillId="14" borderId="33" xfId="0" applyFill="1" applyBorder="1"/>
    <xf numFmtId="0" fontId="1" fillId="0" borderId="65" xfId="1" applyFont="1" applyFill="1" applyBorder="1" applyAlignment="1" applyProtection="1">
      <alignment horizontal="left" vertical="center"/>
    </xf>
    <xf numFmtId="0" fontId="10" fillId="0" borderId="0" xfId="1" applyFont="1" applyFill="1" applyBorder="1" applyAlignment="1" applyProtection="1">
      <alignment horizontal="left" vertical="center"/>
    </xf>
    <xf numFmtId="0" fontId="3" fillId="0" borderId="1" xfId="1" applyFont="1" applyFill="1" applyBorder="1" applyAlignment="1" applyProtection="1">
      <alignment horizontal="center" vertical="center"/>
    </xf>
    <xf numFmtId="15" fontId="18" fillId="0" borderId="78" xfId="0" applyNumberFormat="1" applyFont="1" applyBorder="1" applyAlignment="1">
      <alignment vertical="center"/>
    </xf>
    <xf numFmtId="0" fontId="14" fillId="13" borderId="71" xfId="0" quotePrefix="1" applyFont="1" applyFill="1" applyBorder="1" applyAlignment="1">
      <alignment horizontal="center"/>
    </xf>
    <xf numFmtId="0" fontId="14" fillId="0" borderId="0" xfId="0" applyFont="1" applyAlignment="1">
      <alignment horizontal="left" vertical="top" wrapText="1"/>
    </xf>
    <xf numFmtId="0" fontId="15" fillId="8" borderId="64" xfId="1" applyFont="1" applyFill="1" applyBorder="1" applyAlignment="1" applyProtection="1">
      <alignment horizontal="center" vertical="center"/>
    </xf>
    <xf numFmtId="0" fontId="15" fillId="8" borderId="65" xfId="1" applyFont="1" applyFill="1" applyBorder="1" applyAlignment="1" applyProtection="1">
      <alignment horizontal="center" vertical="center"/>
    </xf>
    <xf numFmtId="0" fontId="15" fillId="8" borderId="66" xfId="1" applyFont="1" applyFill="1" applyBorder="1" applyAlignment="1" applyProtection="1">
      <alignment horizontal="center" vertical="center"/>
    </xf>
    <xf numFmtId="15" fontId="18" fillId="5" borderId="68" xfId="0" applyNumberFormat="1" applyFont="1" applyFill="1" applyBorder="1" applyAlignment="1">
      <alignment horizontal="center" vertical="center"/>
    </xf>
    <xf numFmtId="15" fontId="18" fillId="5" borderId="69" xfId="0" applyNumberFormat="1" applyFont="1" applyFill="1" applyBorder="1" applyAlignment="1">
      <alignment horizontal="center" vertical="center"/>
    </xf>
    <xf numFmtId="15" fontId="18" fillId="5" borderId="70" xfId="0" applyNumberFormat="1" applyFont="1" applyFill="1" applyBorder="1" applyAlignment="1">
      <alignment horizontal="center" vertical="center"/>
    </xf>
    <xf numFmtId="0" fontId="1" fillId="0" borderId="65" xfId="1" applyFont="1" applyFill="1" applyBorder="1" applyAlignment="1" applyProtection="1">
      <alignment horizontal="left" vertical="center"/>
    </xf>
    <xf numFmtId="0" fontId="1" fillId="0" borderId="65" xfId="1" applyFont="1" applyFill="1" applyBorder="1" applyAlignment="1" applyProtection="1">
      <alignment horizontal="left" vertical="center" wrapText="1"/>
    </xf>
    <xf numFmtId="0" fontId="13" fillId="6" borderId="75" xfId="0" applyFont="1" applyFill="1" applyBorder="1" applyAlignment="1" applyProtection="1">
      <alignment horizontal="center"/>
      <protection locked="0"/>
    </xf>
    <xf numFmtId="0" fontId="13" fillId="6" borderId="76" xfId="0" applyFont="1" applyFill="1" applyBorder="1" applyAlignment="1" applyProtection="1">
      <alignment horizontal="center"/>
      <protection locked="0"/>
    </xf>
    <xf numFmtId="0" fontId="13" fillId="6" borderId="77" xfId="0" applyFont="1" applyFill="1" applyBorder="1" applyAlignment="1" applyProtection="1">
      <alignment horizontal="center"/>
      <protection locked="0"/>
    </xf>
    <xf numFmtId="15" fontId="18" fillId="5" borderId="61" xfId="0" applyNumberFormat="1" applyFont="1" applyFill="1" applyBorder="1" applyAlignment="1">
      <alignment horizontal="center" vertical="center"/>
    </xf>
    <xf numFmtId="15" fontId="18" fillId="5" borderId="62" xfId="0" applyNumberFormat="1" applyFont="1" applyFill="1" applyBorder="1" applyAlignment="1">
      <alignment horizontal="center" vertical="center"/>
    </xf>
    <xf numFmtId="15" fontId="18" fillId="5" borderId="63" xfId="0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7" fillId="9" borderId="24" xfId="0" applyFont="1" applyFill="1" applyBorder="1" applyAlignment="1">
      <alignment horizontal="center" vertical="center"/>
    </xf>
    <xf numFmtId="0" fontId="7" fillId="9" borderId="60" xfId="0" applyFont="1" applyFill="1" applyBorder="1" applyAlignment="1">
      <alignment horizontal="center" vertical="center"/>
    </xf>
    <xf numFmtId="0" fontId="7" fillId="9" borderId="58" xfId="0" applyFont="1" applyFill="1" applyBorder="1" applyAlignment="1">
      <alignment horizontal="center" vertical="center"/>
    </xf>
    <xf numFmtId="0" fontId="7" fillId="9" borderId="26" xfId="0" applyFont="1" applyFill="1" applyBorder="1" applyAlignment="1">
      <alignment horizontal="center" vertical="center"/>
    </xf>
    <xf numFmtId="0" fontId="7" fillId="9" borderId="59" xfId="0" applyFont="1" applyFill="1" applyBorder="1" applyAlignment="1">
      <alignment horizontal="center" vertical="center"/>
    </xf>
    <xf numFmtId="0" fontId="7" fillId="9" borderId="25" xfId="0" applyFont="1" applyFill="1" applyBorder="1" applyAlignment="1">
      <alignment horizontal="center" vertical="center"/>
    </xf>
    <xf numFmtId="0" fontId="8" fillId="9" borderId="26" xfId="0" applyFont="1" applyFill="1" applyBorder="1" applyAlignment="1">
      <alignment horizontal="center" vertical="center"/>
    </xf>
  </cellXfs>
  <cellStyles count="2">
    <cellStyle name="Akzent5" xfId="1" builtinId="45"/>
    <cellStyle name="Standard" xfId="0" builtinId="0"/>
  </cellStyles>
  <dxfs count="19">
    <dxf>
      <font>
        <color theme="0"/>
      </font>
      <fill>
        <patternFill patternType="lightHorizontal">
          <bgColor rgb="FFFF0000"/>
        </patternFill>
      </fill>
    </dxf>
    <dxf>
      <font>
        <color theme="0"/>
      </font>
      <fill>
        <patternFill patternType="lightHorizontal">
          <bgColor rgb="FFFF0000"/>
        </patternFill>
      </fill>
    </dxf>
    <dxf>
      <font>
        <color theme="0"/>
      </font>
      <fill>
        <patternFill patternType="solid">
          <fgColor auto="1"/>
          <bgColor theme="0"/>
        </patternFill>
      </fill>
    </dxf>
    <dxf>
      <font>
        <color theme="0"/>
      </font>
      <fill>
        <patternFill patternType="solid">
          <fgColor auto="1"/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lor theme="1"/>
      </font>
      <fill>
        <patternFill>
          <bgColor rgb="FFFFC000"/>
        </patternFill>
      </fill>
    </dxf>
    <dxf>
      <font>
        <color theme="0"/>
      </font>
      <fill>
        <patternFill patternType="lightHorizontal">
          <fgColor auto="1"/>
          <bgColor rgb="FFFF0000"/>
        </patternFill>
      </fill>
    </dxf>
    <dxf>
      <font>
        <color theme="0"/>
      </font>
      <fill>
        <patternFill patternType="lightHorizontal">
          <bgColor rgb="FFFF0000"/>
        </patternFill>
      </fill>
    </dxf>
    <dxf>
      <font>
        <color theme="0"/>
      </font>
      <fill>
        <patternFill patternType="solid">
          <fgColor auto="1"/>
          <bgColor theme="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theme="0"/>
      </font>
      <fill>
        <patternFill patternType="lightHorizontal">
          <bgColor rgb="FFFF0000"/>
        </patternFill>
      </fill>
    </dxf>
    <dxf>
      <font>
        <color theme="0"/>
      </font>
      <fill>
        <patternFill patternType="lightHorizontal">
          <bgColor rgb="FFFF0000"/>
        </patternFill>
      </fill>
    </dxf>
    <dxf>
      <font>
        <color theme="0"/>
      </font>
      <fill>
        <patternFill patternType="lightHorizontal">
          <bgColor rgb="FFFF0000"/>
        </patternFill>
      </fill>
    </dxf>
    <dxf>
      <font>
        <color theme="0"/>
      </font>
      <fill>
        <patternFill patternType="lightHorizontal">
          <bgColor rgb="FFFF0000"/>
        </patternFill>
      </fill>
    </dxf>
    <dxf>
      <font>
        <color theme="0"/>
      </font>
      <fill>
        <patternFill patternType="lightHorizontal">
          <bgColor rgb="FFFF0000"/>
        </patternFill>
      </fill>
    </dxf>
    <dxf>
      <font>
        <color theme="0"/>
      </font>
      <fill>
        <patternFill patternType="lightHorizontal">
          <bgColor rgb="FFFF0000"/>
        </patternFill>
      </fill>
    </dxf>
    <dxf>
      <font>
        <color theme="0"/>
      </font>
      <fill>
        <patternFill patternType="lightHorizontal">
          <bgColor rgb="FFFF0000"/>
        </patternFill>
      </fill>
    </dxf>
    <dxf>
      <font>
        <color theme="0"/>
      </font>
      <fill>
        <patternFill patternType="lightHorizontal">
          <bgColor rgb="FFFF0000"/>
        </patternFill>
      </fill>
    </dxf>
  </dxfs>
  <tableStyles count="0" defaultTableStyle="TableStyleMedium2" defaultPivotStyle="PivotStyleLight16"/>
  <colors>
    <mruColors>
      <color rgb="FFFFFFCC"/>
      <color rgb="FFFFFFFF"/>
      <color rgb="FF1661FD"/>
      <color rgb="FFF773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Radio" checked="Checked" firstButton="1" fmlaLink="Config!$A$15" lockText="1" noThreeD="1"/>
</file>

<file path=xl/ctrlProps/ctrlProp2.xml><?xml version="1.0" encoding="utf-8"?>
<formControlPr xmlns="http://schemas.microsoft.com/office/spreadsheetml/2009/9/main" objectType="Radio" checked="Checked" firstButton="1" fmlaLink="Config!$A$8" lockText="1" noThreeD="1"/>
</file>

<file path=xl/ctrlProps/ctrlProp3.xml><?xml version="1.0" encoding="utf-8"?>
<formControlPr xmlns="http://schemas.microsoft.com/office/spreadsheetml/2009/9/main" objectType="Radio" checked="Checked" firstButton="1" fmlaLink="Config!$A$14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CheckBox" fmlaLink="Config!$A$16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CheckBox" fmlaLink="Config!$A$10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Radio" checked="Checked" firstButton="1" fmlaLink="Config!$A$20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checked="Checked" firstButton="1" fmlaLink="Config!$A$9" lockText="1" noThreeD="1"/>
</file>

<file path=xl/ctrlProps/ctrlProp2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838200</xdr:colOff>
          <xdr:row>6</xdr:row>
          <xdr:rowOff>38100</xdr:rowOff>
        </xdr:from>
        <xdr:to>
          <xdr:col>12</xdr:col>
          <xdr:colOff>723900</xdr:colOff>
          <xdr:row>7</xdr:row>
          <xdr:rowOff>38100</xdr:rowOff>
        </xdr:to>
        <xdr:sp macro="" textlink="">
          <xdr:nvSpPr>
            <xdr:cNvPr id="1041" name="Option 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Voltage / 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831850</xdr:colOff>
          <xdr:row>3</xdr:row>
          <xdr:rowOff>50800</xdr:rowOff>
        </xdr:from>
        <xdr:to>
          <xdr:col>12</xdr:col>
          <xdr:colOff>698500</xdr:colOff>
          <xdr:row>4</xdr:row>
          <xdr:rowOff>12700</xdr:rowOff>
        </xdr:to>
        <xdr:sp macro="" textlink="">
          <xdr:nvSpPr>
            <xdr:cNvPr id="1051" name="Option 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Current / 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831850</xdr:colOff>
          <xdr:row>3</xdr:row>
          <xdr:rowOff>19050</xdr:rowOff>
        </xdr:from>
        <xdr:to>
          <xdr:col>5</xdr:col>
          <xdr:colOff>584200</xdr:colOff>
          <xdr:row>4</xdr:row>
          <xdr:rowOff>12700</xdr:rowOff>
        </xdr:to>
        <xdr:sp macro="" textlink="">
          <xdr:nvSpPr>
            <xdr:cNvPr id="1049" name="Option 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Current / 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19050</xdr:rowOff>
        </xdr:from>
        <xdr:to>
          <xdr:col>7</xdr:col>
          <xdr:colOff>0</xdr:colOff>
          <xdr:row>4</xdr:row>
          <xdr:rowOff>12700</xdr:rowOff>
        </xdr:to>
        <xdr:sp macro="" textlink="">
          <xdr:nvSpPr>
            <xdr:cNvPr id="1062" name="Option 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Power / 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12700</xdr:colOff>
          <xdr:row>5</xdr:row>
          <xdr:rowOff>228600</xdr:rowOff>
        </xdr:from>
        <xdr:to>
          <xdr:col>15</xdr:col>
          <xdr:colOff>755650</xdr:colOff>
          <xdr:row>7</xdr:row>
          <xdr:rowOff>12700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812800</xdr:colOff>
          <xdr:row>3</xdr:row>
          <xdr:rowOff>50800</xdr:rowOff>
        </xdr:from>
        <xdr:to>
          <xdr:col>13</xdr:col>
          <xdr:colOff>800100</xdr:colOff>
          <xdr:row>4</xdr:row>
          <xdr:rowOff>12700</xdr:rowOff>
        </xdr:to>
        <xdr:sp macro="" textlink="">
          <xdr:nvSpPr>
            <xdr:cNvPr id="1066" name="Option 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Power / 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819150</xdr:colOff>
          <xdr:row>6</xdr:row>
          <xdr:rowOff>38100</xdr:rowOff>
        </xdr:from>
        <xdr:to>
          <xdr:col>13</xdr:col>
          <xdr:colOff>819150</xdr:colOff>
          <xdr:row>7</xdr:row>
          <xdr:rowOff>38100</xdr:rowOff>
        </xdr:to>
        <xdr:sp macro="" textlink="">
          <xdr:nvSpPr>
            <xdr:cNvPr id="1067" name="Option 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SOC / 0…1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9</xdr:row>
          <xdr:rowOff>19050</xdr:rowOff>
        </xdr:from>
        <xdr:to>
          <xdr:col>17</xdr:col>
          <xdr:colOff>774700</xdr:colOff>
          <xdr:row>11</xdr:row>
          <xdr:rowOff>0</xdr:rowOff>
        </xdr:to>
        <xdr:sp macro="" textlink="">
          <xdr:nvSpPr>
            <xdr:cNvPr id="1070" name="Group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Pause after Discharge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9</xdr:row>
          <xdr:rowOff>19050</xdr:rowOff>
        </xdr:from>
        <xdr:to>
          <xdr:col>10</xdr:col>
          <xdr:colOff>762000</xdr:colOff>
          <xdr:row>11</xdr:row>
          <xdr:rowOff>0</xdr:rowOff>
        </xdr:to>
        <xdr:sp macro="" textlink="">
          <xdr:nvSpPr>
            <xdr:cNvPr id="1071" name="Group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Pause after Charge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3</xdr:row>
          <xdr:rowOff>19050</xdr:rowOff>
        </xdr:from>
        <xdr:to>
          <xdr:col>3</xdr:col>
          <xdr:colOff>1295400</xdr:colOff>
          <xdr:row>5</xdr:row>
          <xdr:rowOff>0</xdr:rowOff>
        </xdr:to>
        <xdr:sp macro="" textlink="">
          <xdr:nvSpPr>
            <xdr:cNvPr id="1072" name="Group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Ambient Temperature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5</xdr:row>
          <xdr:rowOff>222250</xdr:rowOff>
        </xdr:from>
        <xdr:to>
          <xdr:col>8</xdr:col>
          <xdr:colOff>107950</xdr:colOff>
          <xdr:row>7</xdr:row>
          <xdr:rowOff>12700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CV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890586</xdr:colOff>
      <xdr:row>17</xdr:row>
      <xdr:rowOff>69055</xdr:rowOff>
    </xdr:from>
    <xdr:to>
      <xdr:col>2</xdr:col>
      <xdr:colOff>447674</xdr:colOff>
      <xdr:row>17</xdr:row>
      <xdr:rowOff>440530</xdr:rowOff>
    </xdr:to>
    <xdr:sp macro="[0]!add_new_testcase_04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90586" y="5088730"/>
          <a:ext cx="1833563" cy="371475"/>
        </a:xfrm>
        <a:prstGeom prst="roundRect">
          <a:avLst/>
        </a:prstGeom>
        <a:solidFill>
          <a:srgbClr val="1661FD"/>
        </a:solidFill>
        <a:ln w="28575" cap="flat" cmpd="sng" algn="ctr">
          <a:solidFill>
            <a:srgbClr val="1661FD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+ ADD TESTCASE</a:t>
          </a:r>
          <a:endParaRPr lang="en-US" sz="1100" b="1">
            <a:solidFill>
              <a:srgbClr val="FFFFFF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6</xdr:row>
          <xdr:rowOff>19050</xdr:rowOff>
        </xdr:from>
        <xdr:to>
          <xdr:col>3</xdr:col>
          <xdr:colOff>1295400</xdr:colOff>
          <xdr:row>11</xdr:row>
          <xdr:rowOff>0</xdr:rowOff>
        </xdr:to>
        <xdr:sp macro="" textlink="">
          <xdr:nvSpPr>
            <xdr:cNvPr id="1087" name="Group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Stop Condition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69850</xdr:colOff>
          <xdr:row>3</xdr:row>
          <xdr:rowOff>19050</xdr:rowOff>
        </xdr:from>
        <xdr:to>
          <xdr:col>10</xdr:col>
          <xdr:colOff>755650</xdr:colOff>
          <xdr:row>5</xdr:row>
          <xdr:rowOff>0</xdr:rowOff>
        </xdr:to>
        <xdr:sp macro="" textlink="">
          <xdr:nvSpPr>
            <xdr:cNvPr id="1088" name="Group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Charge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88900</xdr:colOff>
          <xdr:row>3</xdr:row>
          <xdr:rowOff>38100</xdr:rowOff>
        </xdr:from>
        <xdr:to>
          <xdr:col>17</xdr:col>
          <xdr:colOff>762000</xdr:colOff>
          <xdr:row>5</xdr:row>
          <xdr:rowOff>0</xdr:rowOff>
        </xdr:to>
        <xdr:sp macro="" textlink="">
          <xdr:nvSpPr>
            <xdr:cNvPr id="1090" name="Group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Discharge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6</xdr:row>
          <xdr:rowOff>19050</xdr:rowOff>
        </xdr:from>
        <xdr:to>
          <xdr:col>17</xdr:col>
          <xdr:colOff>781050</xdr:colOff>
          <xdr:row>8</xdr:row>
          <xdr:rowOff>0</xdr:rowOff>
        </xdr:to>
        <xdr:sp macro="" textlink="">
          <xdr:nvSpPr>
            <xdr:cNvPr id="1091" name="Group Box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Discharge limits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6</xdr:row>
          <xdr:rowOff>57150</xdr:rowOff>
        </xdr:from>
        <xdr:to>
          <xdr:col>2</xdr:col>
          <xdr:colOff>1009650</xdr:colOff>
          <xdr:row>7</xdr:row>
          <xdr:rowOff>69850</xdr:rowOff>
        </xdr:to>
        <xdr:sp macro="" textlink="">
          <xdr:nvSpPr>
            <xdr:cNvPr id="1098" name="Option 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EFC / 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31750</xdr:rowOff>
        </xdr:from>
        <xdr:to>
          <xdr:col>2</xdr:col>
          <xdr:colOff>1009650</xdr:colOff>
          <xdr:row>8</xdr:row>
          <xdr:rowOff>38100</xdr:rowOff>
        </xdr:to>
        <xdr:sp macro="" textlink="">
          <xdr:nvSpPr>
            <xdr:cNvPr id="1099" name="Option 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Time / 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7</xdr:row>
          <xdr:rowOff>31750</xdr:rowOff>
        </xdr:from>
        <xdr:to>
          <xdr:col>3</xdr:col>
          <xdr:colOff>1041400</xdr:colOff>
          <xdr:row>8</xdr:row>
          <xdr:rowOff>38100</xdr:rowOff>
        </xdr:to>
        <xdr:sp macro="" textlink="">
          <xdr:nvSpPr>
            <xdr:cNvPr id="1100" name="Option 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Cycles / 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6</xdr:row>
          <xdr:rowOff>57150</xdr:rowOff>
        </xdr:from>
        <xdr:to>
          <xdr:col>3</xdr:col>
          <xdr:colOff>1041400</xdr:colOff>
          <xdr:row>7</xdr:row>
          <xdr:rowOff>69850</xdr:rowOff>
        </xdr:to>
        <xdr:sp macro="" textlink="">
          <xdr:nvSpPr>
            <xdr:cNvPr id="1101" name="Option 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SOHc / 0…1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6</xdr:row>
          <xdr:rowOff>12700</xdr:rowOff>
        </xdr:from>
        <xdr:to>
          <xdr:col>10</xdr:col>
          <xdr:colOff>755650</xdr:colOff>
          <xdr:row>8</xdr:row>
          <xdr:rowOff>0</xdr:rowOff>
        </xdr:to>
        <xdr:sp macro="" textlink="">
          <xdr:nvSpPr>
            <xdr:cNvPr id="1102" name="Group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Charge limits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812800</xdr:colOff>
          <xdr:row>6</xdr:row>
          <xdr:rowOff>38100</xdr:rowOff>
        </xdr:from>
        <xdr:to>
          <xdr:col>5</xdr:col>
          <xdr:colOff>755650</xdr:colOff>
          <xdr:row>7</xdr:row>
          <xdr:rowOff>12700</xdr:rowOff>
        </xdr:to>
        <xdr:sp macro="" textlink="">
          <xdr:nvSpPr>
            <xdr:cNvPr id="1103" name="Option 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Voltage / 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6</xdr:row>
          <xdr:rowOff>50800</xdr:rowOff>
        </xdr:from>
        <xdr:to>
          <xdr:col>6</xdr:col>
          <xdr:colOff>762000</xdr:colOff>
          <xdr:row>7</xdr:row>
          <xdr:rowOff>38100</xdr:rowOff>
        </xdr:to>
        <xdr:sp macro="" textlink="">
          <xdr:nvSpPr>
            <xdr:cNvPr id="1104" name="Option 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SOC / 0…1</a:t>
              </a:r>
            </a:p>
          </xdr:txBody>
        </xdr:sp>
        <xdr:clientData/>
      </xdr:twoCellAnchor>
    </mc:Choice>
    <mc:Fallback/>
  </mc:AlternateContent>
  <xdr:twoCellAnchor editAs="oneCell">
    <xdr:from>
      <xdr:col>20</xdr:col>
      <xdr:colOff>54429</xdr:colOff>
      <xdr:row>10</xdr:row>
      <xdr:rowOff>65317</xdr:rowOff>
    </xdr:from>
    <xdr:to>
      <xdr:col>21</xdr:col>
      <xdr:colOff>32659</xdr:colOff>
      <xdr:row>11</xdr:row>
      <xdr:rowOff>143657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364200" y="2830288"/>
          <a:ext cx="5236030" cy="30694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20</xdr:col>
      <xdr:colOff>903514</xdr:colOff>
      <xdr:row>11</xdr:row>
      <xdr:rowOff>272144</xdr:rowOff>
    </xdr:from>
    <xdr:to>
      <xdr:col>20</xdr:col>
      <xdr:colOff>4538569</xdr:colOff>
      <xdr:row>21</xdr:row>
      <xdr:rowOff>23272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13285" y="3265715"/>
          <a:ext cx="3635055" cy="474767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DE6E6-A0D1-4408-9C3F-221E4CDE2E66}">
  <sheetPr codeName="Tabelle1"/>
  <dimension ref="A1:U55"/>
  <sheetViews>
    <sheetView showGridLines="0" tabSelected="1" zoomScale="70" zoomScaleNormal="70" workbookViewId="0">
      <selection activeCell="B28" sqref="B28"/>
    </sheetView>
  </sheetViews>
  <sheetFormatPr baseColWidth="10" defaultColWidth="9.1796875" defaultRowHeight="14.5" x14ac:dyDescent="0.35"/>
  <cols>
    <col min="1" max="1" width="17.1796875" style="104" customWidth="1"/>
    <col min="2" max="2" width="20.7265625" style="104" customWidth="1"/>
    <col min="3" max="3" width="15.7265625" style="104" customWidth="1"/>
    <col min="4" max="4" width="20.7265625" style="104" customWidth="1"/>
    <col min="5" max="7" width="12.7265625" style="104" customWidth="1"/>
    <col min="8" max="8" width="15.7265625" style="104" customWidth="1"/>
    <col min="9" max="14" width="12.7265625" style="104" customWidth="1"/>
    <col min="15" max="15" width="15.7265625" style="104" customWidth="1"/>
    <col min="16" max="18" width="12.7265625" style="104" customWidth="1"/>
    <col min="19" max="19" width="9.1796875" style="104" hidden="1" customWidth="1"/>
    <col min="20" max="20" width="9.1796875" style="104"/>
    <col min="21" max="21" width="76.7265625" style="104" customWidth="1"/>
    <col min="22" max="16384" width="9.1796875" style="104"/>
  </cols>
  <sheetData>
    <row r="1" spans="1:21" s="91" customFormat="1" ht="40" customHeight="1" thickBot="1" x14ac:dyDescent="0.5">
      <c r="A1" s="120" t="s">
        <v>0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2"/>
      <c r="S1" s="90" t="s">
        <v>1</v>
      </c>
      <c r="T1" s="90"/>
      <c r="U1" s="65"/>
    </row>
    <row r="2" spans="1:21" s="91" customFormat="1" ht="21.75" customHeight="1" thickBot="1" x14ac:dyDescent="0.5">
      <c r="A2" s="92" t="s">
        <v>2</v>
      </c>
      <c r="B2" s="126" t="s">
        <v>89</v>
      </c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93"/>
      <c r="T2" s="93"/>
      <c r="U2" s="86" t="s">
        <v>94</v>
      </c>
    </row>
    <row r="3" spans="1:21" s="67" customFormat="1" ht="25" customHeight="1" thickBot="1" x14ac:dyDescent="0.5">
      <c r="A3" s="94"/>
      <c r="B3" s="123" t="s">
        <v>3</v>
      </c>
      <c r="C3" s="124"/>
      <c r="D3" s="125"/>
      <c r="E3" s="123" t="s">
        <v>4</v>
      </c>
      <c r="F3" s="124"/>
      <c r="G3" s="124"/>
      <c r="H3" s="124"/>
      <c r="I3" s="124"/>
      <c r="J3" s="124"/>
      <c r="K3" s="125"/>
      <c r="L3" s="123" t="s">
        <v>5</v>
      </c>
      <c r="M3" s="124"/>
      <c r="N3" s="124"/>
      <c r="O3" s="124"/>
      <c r="P3" s="124"/>
      <c r="Q3" s="124"/>
      <c r="R3" s="125"/>
      <c r="S3" s="66"/>
      <c r="T3" s="66"/>
      <c r="U3" s="109" t="s">
        <v>6</v>
      </c>
    </row>
    <row r="4" spans="1:21" s="91" customFormat="1" ht="18.75" customHeight="1" x14ac:dyDescent="0.35">
      <c r="A4" s="68"/>
      <c r="B4" s="69"/>
      <c r="C4" s="49"/>
      <c r="D4" s="50"/>
      <c r="E4" s="48"/>
      <c r="F4" s="49"/>
      <c r="G4" s="49"/>
      <c r="H4" s="49"/>
      <c r="I4" s="49"/>
      <c r="J4" s="49"/>
      <c r="K4" s="50"/>
      <c r="L4" s="48"/>
      <c r="M4" s="49"/>
      <c r="N4" s="49"/>
      <c r="O4" s="49"/>
      <c r="P4" s="49"/>
      <c r="Q4" s="49"/>
      <c r="R4" s="50"/>
      <c r="U4" s="110" t="s">
        <v>7</v>
      </c>
    </row>
    <row r="5" spans="1:21" s="91" customFormat="1" ht="18.75" customHeight="1" x14ac:dyDescent="0.35">
      <c r="A5" s="70"/>
      <c r="B5" s="69"/>
      <c r="C5" s="52">
        <v>25</v>
      </c>
      <c r="D5" s="50" t="s">
        <v>8</v>
      </c>
      <c r="E5" s="48"/>
      <c r="F5" s="52">
        <v>70</v>
      </c>
      <c r="G5" s="49" t="s">
        <v>9</v>
      </c>
      <c r="H5" s="49"/>
      <c r="I5" s="49"/>
      <c r="J5" s="49"/>
      <c r="K5" s="50"/>
      <c r="L5" s="48"/>
      <c r="M5" s="52">
        <v>70</v>
      </c>
      <c r="N5" s="49" t="s">
        <v>93</v>
      </c>
      <c r="O5" s="49"/>
      <c r="P5" s="49"/>
      <c r="Q5" s="49"/>
      <c r="R5" s="50"/>
      <c r="U5" s="111" t="s">
        <v>10</v>
      </c>
    </row>
    <row r="6" spans="1:21" s="91" customFormat="1" ht="18.75" customHeight="1" x14ac:dyDescent="0.35">
      <c r="A6" s="70"/>
      <c r="B6" s="70"/>
      <c r="C6" s="53"/>
      <c r="D6" s="54"/>
      <c r="E6" s="51"/>
      <c r="F6" s="53"/>
      <c r="G6" s="53"/>
      <c r="H6" s="53"/>
      <c r="I6" s="53"/>
      <c r="J6" s="53"/>
      <c r="K6" s="54"/>
      <c r="L6" s="51"/>
      <c r="M6" s="53"/>
      <c r="N6" s="53"/>
      <c r="O6" s="53"/>
      <c r="P6" s="53"/>
      <c r="Q6" s="53"/>
      <c r="R6" s="54"/>
      <c r="U6" s="95" t="s">
        <v>86</v>
      </c>
    </row>
    <row r="7" spans="1:21" s="91" customFormat="1" ht="18.75" customHeight="1" x14ac:dyDescent="0.35">
      <c r="A7" s="70"/>
      <c r="B7" s="69"/>
      <c r="C7" s="49"/>
      <c r="D7" s="50"/>
      <c r="E7" s="48"/>
      <c r="F7" s="49"/>
      <c r="G7" s="49"/>
      <c r="H7" s="49"/>
      <c r="I7" s="49"/>
      <c r="J7" s="49"/>
      <c r="K7" s="50"/>
      <c r="L7" s="48"/>
      <c r="M7" s="49"/>
      <c r="N7" s="49"/>
      <c r="O7" s="49"/>
      <c r="P7" s="49"/>
      <c r="Q7" s="49"/>
      <c r="R7" s="50"/>
    </row>
    <row r="8" spans="1:21" s="91" customFormat="1" ht="18.75" customHeight="1" x14ac:dyDescent="0.45">
      <c r="A8" s="68"/>
      <c r="B8" s="69"/>
      <c r="C8" s="49"/>
      <c r="D8" s="50"/>
      <c r="E8" s="48"/>
      <c r="F8" s="52">
        <v>4.1500000000000004</v>
      </c>
      <c r="G8" s="49" t="s">
        <v>11</v>
      </c>
      <c r="H8" s="49"/>
      <c r="I8" s="55">
        <v>50</v>
      </c>
      <c r="J8" s="49" t="s">
        <v>12</v>
      </c>
      <c r="K8" s="50"/>
      <c r="L8" s="48"/>
      <c r="M8" s="52">
        <v>3.16</v>
      </c>
      <c r="N8" s="49" t="s">
        <v>13</v>
      </c>
      <c r="O8" s="49"/>
      <c r="P8" s="55">
        <v>50</v>
      </c>
      <c r="Q8" s="49" t="s">
        <v>12</v>
      </c>
      <c r="R8" s="50"/>
      <c r="U8" s="86" t="s">
        <v>95</v>
      </c>
    </row>
    <row r="9" spans="1:21" s="91" customFormat="1" ht="18.75" customHeight="1" x14ac:dyDescent="0.35">
      <c r="A9" s="70"/>
      <c r="B9" s="69"/>
      <c r="C9" s="49"/>
      <c r="D9" s="50"/>
      <c r="E9" s="51"/>
      <c r="F9" s="53"/>
      <c r="G9" s="53"/>
      <c r="H9" s="53"/>
      <c r="I9" s="53"/>
      <c r="J9" s="53"/>
      <c r="K9" s="54"/>
      <c r="L9" s="51"/>
      <c r="M9" s="53"/>
      <c r="N9" s="53"/>
      <c r="O9" s="53"/>
      <c r="P9" s="53"/>
      <c r="Q9" s="53"/>
      <c r="R9" s="54"/>
      <c r="U9" s="119" t="s">
        <v>96</v>
      </c>
    </row>
    <row r="10" spans="1:21" s="91" customFormat="1" ht="18.75" customHeight="1" x14ac:dyDescent="0.35">
      <c r="A10" s="70"/>
      <c r="B10" s="69"/>
      <c r="C10" s="49"/>
      <c r="D10" s="50" t="s">
        <v>14</v>
      </c>
      <c r="E10" s="48"/>
      <c r="F10" s="49"/>
      <c r="G10" s="49"/>
      <c r="H10" s="49"/>
      <c r="I10" s="49"/>
      <c r="J10" s="49"/>
      <c r="K10" s="50"/>
      <c r="L10" s="48"/>
      <c r="M10" s="49"/>
      <c r="N10" s="49"/>
      <c r="O10" s="49"/>
      <c r="P10" s="49"/>
      <c r="Q10" s="49"/>
      <c r="R10" s="50"/>
      <c r="U10" s="119"/>
    </row>
    <row r="11" spans="1:21" s="91" customFormat="1" ht="18" customHeight="1" thickBot="1" x14ac:dyDescent="0.5">
      <c r="A11" s="70"/>
      <c r="B11" s="71"/>
      <c r="C11" s="57">
        <v>200</v>
      </c>
      <c r="D11" s="58" t="s">
        <v>15</v>
      </c>
      <c r="E11" s="56"/>
      <c r="F11" s="57">
        <v>60</v>
      </c>
      <c r="G11" s="59" t="s">
        <v>16</v>
      </c>
      <c r="H11" s="59"/>
      <c r="I11" s="59"/>
      <c r="J11" s="59"/>
      <c r="K11" s="58"/>
      <c r="L11" s="56"/>
      <c r="M11" s="57">
        <v>60</v>
      </c>
      <c r="N11" s="59" t="s">
        <v>16</v>
      </c>
      <c r="O11" s="59"/>
      <c r="P11" s="59"/>
      <c r="Q11" s="59"/>
      <c r="R11" s="58"/>
      <c r="U11" s="72"/>
    </row>
    <row r="12" spans="1:21" s="91" customFormat="1" ht="40" customHeight="1" thickBot="1" x14ac:dyDescent="0.5">
      <c r="A12" s="73"/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5"/>
      <c r="U12" s="72"/>
    </row>
    <row r="13" spans="1:21" s="91" customFormat="1" ht="40" customHeight="1" thickBot="1" x14ac:dyDescent="0.5">
      <c r="A13" s="120" t="s">
        <v>92</v>
      </c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2"/>
      <c r="S13" s="90" t="s">
        <v>1</v>
      </c>
      <c r="T13" s="90"/>
      <c r="U13" s="65"/>
    </row>
    <row r="14" spans="1:21" s="91" customFormat="1" ht="43.75" customHeight="1" thickBot="1" x14ac:dyDescent="0.5">
      <c r="A14" s="92" t="s">
        <v>2</v>
      </c>
      <c r="B14" s="127" t="s">
        <v>98</v>
      </c>
      <c r="C14" s="127"/>
      <c r="D14" s="127"/>
      <c r="E14" s="127"/>
      <c r="F14" s="127"/>
      <c r="G14" s="127"/>
      <c r="H14" s="127"/>
      <c r="I14" s="127"/>
      <c r="J14" s="127"/>
      <c r="K14" s="127"/>
      <c r="L14" s="127"/>
      <c r="M14" s="127"/>
      <c r="N14" s="127"/>
      <c r="O14" s="127"/>
      <c r="P14" s="127"/>
      <c r="Q14" s="127"/>
      <c r="R14" s="127"/>
      <c r="S14" s="93"/>
      <c r="T14" s="93"/>
      <c r="U14" s="65"/>
    </row>
    <row r="15" spans="1:21" s="67" customFormat="1" ht="25" customHeight="1" thickBot="1" x14ac:dyDescent="0.5">
      <c r="A15" s="96"/>
      <c r="B15" s="123" t="s">
        <v>3</v>
      </c>
      <c r="C15" s="124"/>
      <c r="D15" s="125"/>
      <c r="E15" s="123" t="s">
        <v>4</v>
      </c>
      <c r="F15" s="124"/>
      <c r="G15" s="124"/>
      <c r="H15" s="124"/>
      <c r="I15" s="124"/>
      <c r="J15" s="124"/>
      <c r="K15" s="125"/>
      <c r="L15" s="123" t="s">
        <v>5</v>
      </c>
      <c r="M15" s="124"/>
      <c r="N15" s="124"/>
      <c r="O15" s="124"/>
      <c r="P15" s="124"/>
      <c r="Q15" s="124"/>
      <c r="R15" s="125"/>
      <c r="S15" s="66"/>
      <c r="T15" s="66"/>
      <c r="U15" s="76"/>
    </row>
    <row r="16" spans="1:21" s="91" customFormat="1" ht="68.25" customHeight="1" thickBot="1" x14ac:dyDescent="0.4">
      <c r="A16" s="97"/>
      <c r="B16" s="98" t="s">
        <v>17</v>
      </c>
      <c r="C16" s="99" t="s">
        <v>18</v>
      </c>
      <c r="D16" s="100" t="s">
        <v>19</v>
      </c>
      <c r="E16" s="99" t="s">
        <v>20</v>
      </c>
      <c r="F16" s="99" t="s">
        <v>21</v>
      </c>
      <c r="G16" s="99" t="s">
        <v>22</v>
      </c>
      <c r="H16" s="99" t="s">
        <v>23</v>
      </c>
      <c r="I16" s="99" t="s">
        <v>24</v>
      </c>
      <c r="J16" s="99" t="s">
        <v>25</v>
      </c>
      <c r="K16" s="99" t="s">
        <v>26</v>
      </c>
      <c r="L16" s="98" t="s">
        <v>20</v>
      </c>
      <c r="M16" s="99" t="s">
        <v>21</v>
      </c>
      <c r="N16" s="99" t="s">
        <v>27</v>
      </c>
      <c r="O16" s="99" t="s">
        <v>28</v>
      </c>
      <c r="P16" s="99" t="s">
        <v>24</v>
      </c>
      <c r="Q16" s="99" t="s">
        <v>25</v>
      </c>
      <c r="R16" s="100" t="s">
        <v>29</v>
      </c>
    </row>
    <row r="17" spans="1:21" s="91" customFormat="1" ht="39" customHeight="1" thickBot="1" x14ac:dyDescent="0.4">
      <c r="A17" s="77" t="s">
        <v>30</v>
      </c>
      <c r="B17" s="60">
        <f>$C$5</f>
        <v>25</v>
      </c>
      <c r="C17" s="61" t="str">
        <f>Config!$C$20</f>
        <v>EFC / -</v>
      </c>
      <c r="D17" s="62">
        <f>$C$11</f>
        <v>200</v>
      </c>
      <c r="E17" s="61" t="str">
        <f>Config!$C$8</f>
        <v>Current / A</v>
      </c>
      <c r="F17" s="61">
        <f>$F$5</f>
        <v>70</v>
      </c>
      <c r="G17" s="61" t="str">
        <f>Config!$C$9</f>
        <v>Voltage / V</v>
      </c>
      <c r="H17" s="61">
        <f>$F$8</f>
        <v>4.1500000000000004</v>
      </c>
      <c r="I17" s="61" t="str">
        <f>Config!$C$11</f>
        <v>off</v>
      </c>
      <c r="J17" s="61" t="str">
        <f>IF(I17="off","", $I$8)</f>
        <v/>
      </c>
      <c r="K17" s="61">
        <f>$F$11</f>
        <v>60</v>
      </c>
      <c r="L17" s="63" t="str">
        <f>Config!$C$14</f>
        <v>Current / A</v>
      </c>
      <c r="M17" s="61">
        <f>$M$5</f>
        <v>70</v>
      </c>
      <c r="N17" s="61" t="str">
        <f>Config!$C$15</f>
        <v>Voltage / V</v>
      </c>
      <c r="O17" s="61">
        <f>$M$8</f>
        <v>3.16</v>
      </c>
      <c r="P17" s="61" t="str">
        <f>Config!$C$17</f>
        <v>off</v>
      </c>
      <c r="Q17" s="61" t="str">
        <f>IF(P17="off","", $P$8)</f>
        <v/>
      </c>
      <c r="R17" s="62">
        <f>$M$11</f>
        <v>60</v>
      </c>
    </row>
    <row r="18" spans="1:21" s="91" customFormat="1" ht="40" customHeight="1" x14ac:dyDescent="0.45">
      <c r="A18" s="73"/>
      <c r="B18" s="7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U18" s="72"/>
    </row>
    <row r="19" spans="1:21" s="91" customFormat="1" ht="40" customHeight="1" thickBot="1" x14ac:dyDescent="0.5">
      <c r="A19" s="73"/>
      <c r="B19" s="7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U19" s="72"/>
    </row>
    <row r="20" spans="1:21" s="91" customFormat="1" ht="40" customHeight="1" thickBot="1" x14ac:dyDescent="0.4">
      <c r="A20" s="120" t="s">
        <v>91</v>
      </c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2"/>
      <c r="S20" s="90" t="s">
        <v>1</v>
      </c>
      <c r="T20" s="90"/>
    </row>
    <row r="21" spans="1:21" s="91" customFormat="1" ht="21.75" customHeight="1" thickBot="1" x14ac:dyDescent="0.5">
      <c r="A21" s="116" t="s">
        <v>2</v>
      </c>
      <c r="B21" s="114" t="s">
        <v>90</v>
      </c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/>
      <c r="P21"/>
      <c r="Q21"/>
      <c r="R21"/>
      <c r="S21" s="93"/>
      <c r="T21" s="93"/>
      <c r="U21" s="65"/>
    </row>
    <row r="22" spans="1:21" s="67" customFormat="1" ht="25" customHeight="1" thickBot="1" x14ac:dyDescent="0.5">
      <c r="A22" s="117"/>
      <c r="B22" s="123" t="s">
        <v>3</v>
      </c>
      <c r="C22" s="124"/>
      <c r="D22" s="125"/>
      <c r="E22" s="131" t="s">
        <v>4</v>
      </c>
      <c r="F22" s="132"/>
      <c r="G22" s="132"/>
      <c r="H22" s="132"/>
      <c r="I22" s="132"/>
      <c r="J22" s="132"/>
      <c r="K22" s="133"/>
      <c r="L22" s="131" t="s">
        <v>5</v>
      </c>
      <c r="M22" s="132"/>
      <c r="N22" s="132"/>
      <c r="O22" s="132"/>
      <c r="P22" s="132"/>
      <c r="Q22" s="132"/>
      <c r="R22" s="133"/>
      <c r="S22" s="66"/>
      <c r="T22" s="66"/>
      <c r="U22" s="76"/>
    </row>
    <row r="23" spans="1:21" s="91" customFormat="1" ht="43.5" x14ac:dyDescent="0.35">
      <c r="A23" s="78" t="s">
        <v>31</v>
      </c>
      <c r="B23" s="79" t="s">
        <v>17</v>
      </c>
      <c r="C23" s="80" t="s">
        <v>18</v>
      </c>
      <c r="D23" s="81" t="s">
        <v>19</v>
      </c>
      <c r="E23" s="79" t="s">
        <v>20</v>
      </c>
      <c r="F23" s="80" t="s">
        <v>21</v>
      </c>
      <c r="G23" s="80" t="s">
        <v>22</v>
      </c>
      <c r="H23" s="80" t="s">
        <v>23</v>
      </c>
      <c r="I23" s="80" t="s">
        <v>24</v>
      </c>
      <c r="J23" s="80" t="s">
        <v>25</v>
      </c>
      <c r="K23" s="81" t="s">
        <v>26</v>
      </c>
      <c r="L23" s="82" t="s">
        <v>20</v>
      </c>
      <c r="M23" s="83" t="s">
        <v>21</v>
      </c>
      <c r="N23" s="83" t="s">
        <v>27</v>
      </c>
      <c r="O23" s="83" t="s">
        <v>28</v>
      </c>
      <c r="P23" s="83" t="s">
        <v>24</v>
      </c>
      <c r="Q23" s="83" t="s">
        <v>25</v>
      </c>
      <c r="R23" s="84" t="s">
        <v>29</v>
      </c>
    </row>
    <row r="24" spans="1:21" s="91" customFormat="1" x14ac:dyDescent="0.35">
      <c r="A24" s="64">
        <v>0</v>
      </c>
      <c r="B24" s="101" t="s">
        <v>32</v>
      </c>
      <c r="C24" s="102" t="s">
        <v>32</v>
      </c>
      <c r="D24" s="103" t="s">
        <v>32</v>
      </c>
      <c r="E24" s="101" t="s">
        <v>32</v>
      </c>
      <c r="F24" s="102" t="s">
        <v>32</v>
      </c>
      <c r="G24" s="102" t="s">
        <v>32</v>
      </c>
      <c r="H24" s="102" t="s">
        <v>32</v>
      </c>
      <c r="I24" s="102" t="s">
        <v>32</v>
      </c>
      <c r="J24" s="102" t="s">
        <v>32</v>
      </c>
      <c r="K24" s="103" t="s">
        <v>32</v>
      </c>
      <c r="L24" s="101" t="s">
        <v>32</v>
      </c>
      <c r="M24" s="102" t="s">
        <v>32</v>
      </c>
      <c r="N24" s="102" t="s">
        <v>32</v>
      </c>
      <c r="O24" s="102" t="s">
        <v>32</v>
      </c>
      <c r="P24" s="102" t="s">
        <v>32</v>
      </c>
      <c r="Q24" s="102" t="s">
        <v>32</v>
      </c>
      <c r="R24" s="103" t="s">
        <v>32</v>
      </c>
    </row>
    <row r="25" spans="1:21" x14ac:dyDescent="0.35">
      <c r="A25" s="85">
        <v>0</v>
      </c>
      <c r="B25" s="128" t="s">
        <v>88</v>
      </c>
      <c r="C25" s="129"/>
      <c r="D25" s="130"/>
      <c r="E25" s="128" t="s">
        <v>88</v>
      </c>
      <c r="F25" s="129"/>
      <c r="G25" s="129"/>
      <c r="H25" s="129"/>
      <c r="I25" s="129"/>
      <c r="J25" s="129"/>
      <c r="K25" s="130"/>
      <c r="L25" s="128" t="s">
        <v>88</v>
      </c>
      <c r="M25" s="129"/>
      <c r="N25" s="129"/>
      <c r="O25" s="129"/>
      <c r="P25" s="129"/>
      <c r="Q25" s="129"/>
      <c r="R25" s="130"/>
    </row>
    <row r="26" spans="1:21" x14ac:dyDescent="0.35">
      <c r="A26" s="87">
        <f>1+A25</f>
        <v>1</v>
      </c>
      <c r="B26" s="87">
        <v>25</v>
      </c>
      <c r="C26" s="88" t="s">
        <v>33</v>
      </c>
      <c r="D26" s="89">
        <v>200</v>
      </c>
      <c r="E26" s="87" t="s">
        <v>34</v>
      </c>
      <c r="F26" s="88">
        <v>70</v>
      </c>
      <c r="G26" s="88" t="s">
        <v>37</v>
      </c>
      <c r="H26" s="88">
        <v>4.1500000000000004</v>
      </c>
      <c r="I26" s="88" t="s">
        <v>39</v>
      </c>
      <c r="J26" s="88" t="s">
        <v>87</v>
      </c>
      <c r="K26" s="89">
        <v>60</v>
      </c>
      <c r="L26" s="87" t="s">
        <v>34</v>
      </c>
      <c r="M26" s="88">
        <v>70</v>
      </c>
      <c r="N26" s="88" t="s">
        <v>37</v>
      </c>
      <c r="O26" s="88">
        <v>3.16</v>
      </c>
      <c r="P26" s="88" t="s">
        <v>39</v>
      </c>
      <c r="Q26" s="88" t="s">
        <v>87</v>
      </c>
      <c r="R26" s="89">
        <v>60</v>
      </c>
    </row>
    <row r="27" spans="1:21" x14ac:dyDescent="0.35">
      <c r="A27" s="87">
        <f>1+A26</f>
        <v>2</v>
      </c>
      <c r="B27" s="87">
        <v>35</v>
      </c>
      <c r="C27" s="88" t="s">
        <v>33</v>
      </c>
      <c r="D27" s="89">
        <v>200</v>
      </c>
      <c r="E27" s="87" t="s">
        <v>34</v>
      </c>
      <c r="F27" s="88">
        <v>70</v>
      </c>
      <c r="G27" s="88" t="s">
        <v>37</v>
      </c>
      <c r="H27" s="88">
        <v>4.1500000000000004</v>
      </c>
      <c r="I27" s="88" t="s">
        <v>39</v>
      </c>
      <c r="J27" s="88" t="s">
        <v>87</v>
      </c>
      <c r="K27" s="89">
        <v>60</v>
      </c>
      <c r="L27" s="87" t="s">
        <v>34</v>
      </c>
      <c r="M27" s="88">
        <v>70</v>
      </c>
      <c r="N27" s="88" t="s">
        <v>37</v>
      </c>
      <c r="O27" s="88">
        <v>3.16</v>
      </c>
      <c r="P27" s="88" t="s">
        <v>39</v>
      </c>
      <c r="Q27" s="88" t="s">
        <v>87</v>
      </c>
      <c r="R27" s="89">
        <v>60</v>
      </c>
    </row>
    <row r="28" spans="1:21" s="91" customFormat="1" ht="15" thickBot="1" x14ac:dyDescent="0.4">
      <c r="A28" s="118" t="s">
        <v>32</v>
      </c>
      <c r="B28" s="105" t="s">
        <v>32</v>
      </c>
      <c r="C28" s="106" t="s">
        <v>32</v>
      </c>
      <c r="D28" s="107" t="s">
        <v>32</v>
      </c>
      <c r="E28" s="105" t="s">
        <v>32</v>
      </c>
      <c r="F28" s="106" t="s">
        <v>32</v>
      </c>
      <c r="G28" s="106" t="s">
        <v>32</v>
      </c>
      <c r="H28" s="106" t="s">
        <v>32</v>
      </c>
      <c r="I28" s="106" t="s">
        <v>32</v>
      </c>
      <c r="J28" s="106" t="s">
        <v>32</v>
      </c>
      <c r="K28" s="107" t="s">
        <v>32</v>
      </c>
      <c r="L28" s="105" t="s">
        <v>32</v>
      </c>
      <c r="M28" s="106" t="s">
        <v>32</v>
      </c>
      <c r="N28" s="106" t="s">
        <v>32</v>
      </c>
      <c r="O28" s="106" t="s">
        <v>32</v>
      </c>
      <c r="P28" s="106" t="s">
        <v>32</v>
      </c>
      <c r="Q28" s="106" t="s">
        <v>32</v>
      </c>
      <c r="R28" s="107" t="s">
        <v>32</v>
      </c>
    </row>
    <row r="29" spans="1:21" x14ac:dyDescent="0.35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</row>
    <row r="30" spans="1:21" x14ac:dyDescent="0.35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</row>
    <row r="31" spans="1:21" x14ac:dyDescent="0.35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</row>
    <row r="32" spans="1:21" x14ac:dyDescent="0.35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</row>
    <row r="33" spans="1:18" x14ac:dyDescent="0.35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</row>
    <row r="34" spans="1:18" x14ac:dyDescent="0.35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</row>
    <row r="35" spans="1:18" x14ac:dyDescent="0.35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</row>
    <row r="36" spans="1:18" x14ac:dyDescent="0.35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</row>
    <row r="37" spans="1:18" x14ac:dyDescent="0.35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</row>
    <row r="38" spans="1:18" x14ac:dyDescent="0.35">
      <c r="A38" s="108"/>
      <c r="B38" s="108"/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</row>
    <row r="39" spans="1:18" ht="15.75" customHeight="1" x14ac:dyDescent="0.35">
      <c r="A39" s="108"/>
      <c r="B39" s="108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</row>
    <row r="40" spans="1:18" x14ac:dyDescent="0.35">
      <c r="A40" s="108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</row>
    <row r="41" spans="1:18" x14ac:dyDescent="0.35">
      <c r="A41" s="108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</row>
    <row r="42" spans="1:18" x14ac:dyDescent="0.35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</row>
    <row r="43" spans="1:18" x14ac:dyDescent="0.35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</row>
    <row r="44" spans="1:18" x14ac:dyDescent="0.35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</row>
    <row r="45" spans="1:18" x14ac:dyDescent="0.35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</row>
    <row r="46" spans="1:18" x14ac:dyDescent="0.35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</row>
    <row r="47" spans="1:18" x14ac:dyDescent="0.35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</row>
    <row r="48" spans="1:18" x14ac:dyDescent="0.35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</row>
    <row r="49" spans="1:18" x14ac:dyDescent="0.35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</row>
    <row r="50" spans="1:18" x14ac:dyDescent="0.35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</row>
    <row r="51" spans="1:18" x14ac:dyDescent="0.35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</row>
    <row r="52" spans="1:18" x14ac:dyDescent="0.35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</row>
    <row r="53" spans="1:18" x14ac:dyDescent="0.3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</row>
    <row r="54" spans="1:18" x14ac:dyDescent="0.35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</row>
    <row r="55" spans="1:18" x14ac:dyDescent="0.35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</row>
  </sheetData>
  <sheetProtection sheet="1" formatCells="0" formatRows="0" insertRows="0" deleteRows="0"/>
  <mergeCells count="18">
    <mergeCell ref="A13:R13"/>
    <mergeCell ref="B2:R2"/>
    <mergeCell ref="B14:R14"/>
    <mergeCell ref="B25:D25"/>
    <mergeCell ref="E25:K25"/>
    <mergeCell ref="L25:R25"/>
    <mergeCell ref="B22:D22"/>
    <mergeCell ref="E22:K22"/>
    <mergeCell ref="L22:R22"/>
    <mergeCell ref="A20:R20"/>
    <mergeCell ref="E15:K15"/>
    <mergeCell ref="L15:R15"/>
    <mergeCell ref="B15:D15"/>
    <mergeCell ref="U9:U10"/>
    <mergeCell ref="A1:R1"/>
    <mergeCell ref="E3:K3"/>
    <mergeCell ref="L3:R3"/>
    <mergeCell ref="B3:D3"/>
  </mergeCells>
  <conditionalFormatting sqref="C5 F5 M5 F8 M8 C11 F11 M11">
    <cfRule type="containsBlanks" dxfId="18" priority="28">
      <formula>LEN(TRIM(C5))=0</formula>
    </cfRule>
  </conditionalFormatting>
  <conditionalFormatting sqref="C5">
    <cfRule type="expression" dxfId="17" priority="15">
      <formula>ISTEXT($C$5)</formula>
    </cfRule>
  </conditionalFormatting>
  <conditionalFormatting sqref="F5">
    <cfRule type="expression" dxfId="16" priority="18">
      <formula>ISTEXT($F$5)</formula>
    </cfRule>
  </conditionalFormatting>
  <conditionalFormatting sqref="M5">
    <cfRule type="expression" dxfId="15" priority="19">
      <formula>ISTEXT($M$5)</formula>
    </cfRule>
  </conditionalFormatting>
  <conditionalFormatting sqref="C11">
    <cfRule type="expression" dxfId="14" priority="16">
      <formula>ISTEXT($C$11)</formula>
    </cfRule>
  </conditionalFormatting>
  <conditionalFormatting sqref="F8">
    <cfRule type="cellIs" dxfId="13" priority="2" operator="lessThanOrEqual">
      <formula>$M$8</formula>
    </cfRule>
  </conditionalFormatting>
  <conditionalFormatting sqref="M8">
    <cfRule type="cellIs" dxfId="12" priority="3" operator="greaterThanOrEqual">
      <formula>$F$8</formula>
    </cfRule>
  </conditionalFormatting>
  <conditionalFormatting sqref="P8">
    <cfRule type="expression" dxfId="11" priority="29">
      <formula>ISTEXT($P$8)</formula>
    </cfRule>
    <cfRule type="expression" dxfId="10" priority="30">
      <formula>$P$17="off"</formula>
    </cfRule>
  </conditionalFormatting>
  <conditionalFormatting sqref="I8">
    <cfRule type="expression" dxfId="9" priority="31">
      <formula>$I$17="off"</formula>
    </cfRule>
    <cfRule type="expression" dxfId="8" priority="32">
      <formula>ISTEXT($I$8)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Option Button 17">
              <controlPr defaultSize="0" autoFill="0" autoLine="0" autoPict="0">
                <anchor moveWithCells="1">
                  <from>
                    <xdr:col>11</xdr:col>
                    <xdr:colOff>838200</xdr:colOff>
                    <xdr:row>6</xdr:row>
                    <xdr:rowOff>38100</xdr:rowOff>
                  </from>
                  <to>
                    <xdr:col>12</xdr:col>
                    <xdr:colOff>723900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" name="Option Button 25">
              <controlPr defaultSize="0" autoFill="0" autoLine="0" autoPict="0">
                <anchor moveWithCells="1">
                  <from>
                    <xdr:col>4</xdr:col>
                    <xdr:colOff>831850</xdr:colOff>
                    <xdr:row>3</xdr:row>
                    <xdr:rowOff>19050</xdr:rowOff>
                  </from>
                  <to>
                    <xdr:col>5</xdr:col>
                    <xdr:colOff>584200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6" name="Option Button 27">
              <controlPr defaultSize="0" autoFill="0" autoLine="0" autoPict="0">
                <anchor moveWithCells="1">
                  <from>
                    <xdr:col>11</xdr:col>
                    <xdr:colOff>831850</xdr:colOff>
                    <xdr:row>3</xdr:row>
                    <xdr:rowOff>50800</xdr:rowOff>
                  </from>
                  <to>
                    <xdr:col>12</xdr:col>
                    <xdr:colOff>698500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7" name="Option Button 38">
              <controlPr defaultSize="0" autoFill="0" autoLine="0" autoPict="0">
                <anchor moveWithCells="1">
                  <from>
                    <xdr:col>6</xdr:col>
                    <xdr:colOff>0</xdr:colOff>
                    <xdr:row>3</xdr:row>
                    <xdr:rowOff>19050</xdr:rowOff>
                  </from>
                  <to>
                    <xdr:col>7</xdr:col>
                    <xdr:colOff>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8" name="Check Box 39">
              <controlPr defaultSize="0" autoFill="0" autoLine="0" autoPict="0">
                <anchor moveWithCells="1">
                  <from>
                    <xdr:col>15</xdr:col>
                    <xdr:colOff>12700</xdr:colOff>
                    <xdr:row>5</xdr:row>
                    <xdr:rowOff>228600</xdr:rowOff>
                  </from>
                  <to>
                    <xdr:col>15</xdr:col>
                    <xdr:colOff>755650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9" name="Option Button 42">
              <controlPr defaultSize="0" autoFill="0" autoLine="0" autoPict="0">
                <anchor moveWithCells="1">
                  <from>
                    <xdr:col>12</xdr:col>
                    <xdr:colOff>812800</xdr:colOff>
                    <xdr:row>3</xdr:row>
                    <xdr:rowOff>50800</xdr:rowOff>
                  </from>
                  <to>
                    <xdr:col>13</xdr:col>
                    <xdr:colOff>800100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0" name="Option Button 43">
              <controlPr defaultSize="0" autoFill="0" autoLine="0" autoPict="0">
                <anchor moveWithCells="1">
                  <from>
                    <xdr:col>12</xdr:col>
                    <xdr:colOff>819150</xdr:colOff>
                    <xdr:row>6</xdr:row>
                    <xdr:rowOff>38100</xdr:rowOff>
                  </from>
                  <to>
                    <xdr:col>13</xdr:col>
                    <xdr:colOff>819150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1" name="Group Box 46">
              <controlPr defaultSize="0" autoFill="0" autoPict="0">
                <anchor moveWithCells="1">
                  <from>
                    <xdr:col>11</xdr:col>
                    <xdr:colOff>114300</xdr:colOff>
                    <xdr:row>9</xdr:row>
                    <xdr:rowOff>19050</xdr:rowOff>
                  </from>
                  <to>
                    <xdr:col>17</xdr:col>
                    <xdr:colOff>774700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12" name="Group Box 47">
              <controlPr defaultSize="0" autoFill="0" autoPict="0">
                <anchor moveWithCells="1">
                  <from>
                    <xdr:col>4</xdr:col>
                    <xdr:colOff>95250</xdr:colOff>
                    <xdr:row>9</xdr:row>
                    <xdr:rowOff>19050</xdr:rowOff>
                  </from>
                  <to>
                    <xdr:col>10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3" name="Group Box 48">
              <controlPr defaultSize="0" autoFill="0" autoPict="0">
                <anchor moveWithCells="1">
                  <from>
                    <xdr:col>1</xdr:col>
                    <xdr:colOff>88900</xdr:colOff>
                    <xdr:row>3</xdr:row>
                    <xdr:rowOff>19050</xdr:rowOff>
                  </from>
                  <to>
                    <xdr:col>3</xdr:col>
                    <xdr:colOff>1295400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14" name="Check Box 59">
              <controlPr defaultSize="0" autoFill="0" autoLine="0" autoPict="0">
                <anchor moveWithCells="1">
                  <from>
                    <xdr:col>7</xdr:col>
                    <xdr:colOff>571500</xdr:colOff>
                    <xdr:row>5</xdr:row>
                    <xdr:rowOff>222250</xdr:rowOff>
                  </from>
                  <to>
                    <xdr:col>8</xdr:col>
                    <xdr:colOff>107950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5" name="Group Box 63">
              <controlPr defaultSize="0" autoFill="0" autoPict="0">
                <anchor moveWithCells="1">
                  <from>
                    <xdr:col>1</xdr:col>
                    <xdr:colOff>88900</xdr:colOff>
                    <xdr:row>6</xdr:row>
                    <xdr:rowOff>19050</xdr:rowOff>
                  </from>
                  <to>
                    <xdr:col>3</xdr:col>
                    <xdr:colOff>1295400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6" name="Group Box 64">
              <controlPr defaultSize="0" autoFill="0" autoPict="0">
                <anchor moveWithCells="1">
                  <from>
                    <xdr:col>4</xdr:col>
                    <xdr:colOff>69850</xdr:colOff>
                    <xdr:row>3</xdr:row>
                    <xdr:rowOff>19050</xdr:rowOff>
                  </from>
                  <to>
                    <xdr:col>10</xdr:col>
                    <xdr:colOff>755650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7" name="Group Box 66">
              <controlPr defaultSize="0" autoFill="0" autoPict="0">
                <anchor moveWithCells="1">
                  <from>
                    <xdr:col>11</xdr:col>
                    <xdr:colOff>88900</xdr:colOff>
                    <xdr:row>3</xdr:row>
                    <xdr:rowOff>38100</xdr:rowOff>
                  </from>
                  <to>
                    <xdr:col>17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18" name="Group Box 67">
              <controlPr defaultSize="0" autoFill="0" autoPict="0">
                <anchor moveWithCells="1">
                  <from>
                    <xdr:col>11</xdr:col>
                    <xdr:colOff>95250</xdr:colOff>
                    <xdr:row>6</xdr:row>
                    <xdr:rowOff>19050</xdr:rowOff>
                  </from>
                  <to>
                    <xdr:col>17</xdr:col>
                    <xdr:colOff>781050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9" name="Option Button 74">
              <controlPr defaultSize="0" autoFill="0" autoLine="0" autoPict="0">
                <anchor moveWithCells="1">
                  <from>
                    <xdr:col>2</xdr:col>
                    <xdr:colOff>31750</xdr:colOff>
                    <xdr:row>6</xdr:row>
                    <xdr:rowOff>57150</xdr:rowOff>
                  </from>
                  <to>
                    <xdr:col>2</xdr:col>
                    <xdr:colOff>1009650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0" name="Option Button 75">
              <controlPr defaultSize="0" autoFill="0" autoLine="0" autoPict="0">
                <anchor moveWithCells="1">
                  <from>
                    <xdr:col>2</xdr:col>
                    <xdr:colOff>19050</xdr:colOff>
                    <xdr:row>7</xdr:row>
                    <xdr:rowOff>31750</xdr:rowOff>
                  </from>
                  <to>
                    <xdr:col>2</xdr:col>
                    <xdr:colOff>1009650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1" name="Option Button 76">
              <controlPr defaultSize="0" autoFill="0" autoLine="0" autoPict="0">
                <anchor moveWithCells="1">
                  <from>
                    <xdr:col>3</xdr:col>
                    <xdr:colOff>57150</xdr:colOff>
                    <xdr:row>7</xdr:row>
                    <xdr:rowOff>31750</xdr:rowOff>
                  </from>
                  <to>
                    <xdr:col>3</xdr:col>
                    <xdr:colOff>1041400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2" name="Option Button 77">
              <controlPr defaultSize="0" autoFill="0" autoLine="0" autoPict="0">
                <anchor moveWithCells="1">
                  <from>
                    <xdr:col>3</xdr:col>
                    <xdr:colOff>57150</xdr:colOff>
                    <xdr:row>6</xdr:row>
                    <xdr:rowOff>57150</xdr:rowOff>
                  </from>
                  <to>
                    <xdr:col>3</xdr:col>
                    <xdr:colOff>1041400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3" name="Group Box 78">
              <controlPr defaultSize="0" autoFill="0" autoPict="0">
                <anchor moveWithCells="1">
                  <from>
                    <xdr:col>4</xdr:col>
                    <xdr:colOff>95250</xdr:colOff>
                    <xdr:row>6</xdr:row>
                    <xdr:rowOff>12700</xdr:rowOff>
                  </from>
                  <to>
                    <xdr:col>10</xdr:col>
                    <xdr:colOff>755650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4" name="Option Button 79">
              <controlPr defaultSize="0" autoFill="0" autoLine="0" autoPict="0">
                <anchor moveWithCells="1">
                  <from>
                    <xdr:col>4</xdr:col>
                    <xdr:colOff>812800</xdr:colOff>
                    <xdr:row>6</xdr:row>
                    <xdr:rowOff>38100</xdr:rowOff>
                  </from>
                  <to>
                    <xdr:col>5</xdr:col>
                    <xdr:colOff>755650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25" name="Option Button 80">
              <controlPr defaultSize="0" autoFill="0" autoLine="0" autoPict="0">
                <anchor moveWithCells="1">
                  <from>
                    <xdr:col>5</xdr:col>
                    <xdr:colOff>819150</xdr:colOff>
                    <xdr:row>6</xdr:row>
                    <xdr:rowOff>50800</xdr:rowOff>
                  </from>
                  <to>
                    <xdr:col>6</xdr:col>
                    <xdr:colOff>762000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2100D8E-D1BA-4660-BACD-B230ED7D5694}">
            <xm:f>NOT(OR(Config!$R$9,Config!$R$10))</xm:f>
            <x14:dxf>
              <font>
                <color theme="0"/>
              </font>
              <fill>
                <patternFill patternType="lightHorizontal">
                  <fgColor auto="1"/>
                  <bgColor rgb="FFFF0000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cellIs" priority="25" operator="notBetween" id="{88236FCE-EE92-4969-BB15-7EFA54E9A8E3}">
            <xm:f>Config!$G$6</xm:f>
            <xm:f>Config!$I$6</xm:f>
            <x14:dxf>
              <font>
                <b val="0"/>
                <i val="0"/>
                <strike val="0"/>
                <color theme="1"/>
              </font>
              <fill>
                <patternFill>
                  <bgColor rgb="FFFFC000"/>
                </patternFill>
              </fill>
            </x14:dxf>
          </x14:cfRule>
          <xm:sqref>C5</xm:sqref>
        </x14:conditionalFormatting>
        <x14:conditionalFormatting xmlns:xm="http://schemas.microsoft.com/office/excel/2006/main">
          <x14:cfRule type="expression" priority="24" id="{FB81E9F4-29BA-470A-95CE-637C92A8CC8F}">
            <xm:f>NOT(Config!$R$16)</xm:f>
            <x14:dxf>
              <fill>
                <patternFill>
                  <bgColor rgb="FFFFC000"/>
                </patternFill>
              </fill>
            </x14:dxf>
          </x14:cfRule>
          <xm:sqref>F5</xm:sqref>
        </x14:conditionalFormatting>
        <x14:conditionalFormatting xmlns:xm="http://schemas.microsoft.com/office/excel/2006/main">
          <x14:cfRule type="expression" priority="23" id="{EE9972DD-7624-4287-8F9B-A35EA443F53F}">
            <xm:f>NOT(Config!$R$20)</xm:f>
            <x14:dxf>
              <fill>
                <patternFill>
                  <bgColor rgb="FFFFC000"/>
                </patternFill>
              </fill>
            </x14:dxf>
          </x14:cfRule>
          <xm:sqref>M5</xm:sqref>
        </x14:conditionalFormatting>
        <x14:conditionalFormatting xmlns:xm="http://schemas.microsoft.com/office/excel/2006/main">
          <x14:cfRule type="expression" priority="7" id="{1A2B5EAB-FEF7-4843-9A25-8C93814830FC}">
            <xm:f>Config!$C15="SOC"</xm:f>
            <x14:dxf>
              <font>
                <color theme="0"/>
              </font>
              <fill>
                <patternFill patternType="solid">
                  <fgColor auto="1"/>
                  <bgColor theme="0"/>
                </patternFill>
              </fill>
            </x14:dxf>
          </x14:cfRule>
          <xm:sqref>P8</xm:sqref>
        </x14:conditionalFormatting>
        <x14:conditionalFormatting xmlns:xm="http://schemas.microsoft.com/office/excel/2006/main">
          <x14:cfRule type="expression" priority="8" id="{9D230EE4-8CC9-4FDD-AB9F-FB431A180E3C}">
            <xm:f>Config!$C$9="SOC"</xm:f>
            <x14:dxf>
              <font>
                <color theme="0"/>
              </font>
              <fill>
                <patternFill patternType="solid">
                  <fgColor auto="1"/>
                  <bgColor theme="0"/>
                </patternFill>
              </fill>
            </x14:dxf>
          </x14:cfRule>
          <xm:sqref>I8</xm:sqref>
        </x14:conditionalFormatting>
        <x14:conditionalFormatting xmlns:xm="http://schemas.microsoft.com/office/excel/2006/main">
          <x14:cfRule type="expression" priority="5" id="{0C8D99AF-D35F-452D-A6A1-B96BA4C8882B}">
            <xm:f>NOT(Config!$R$6)</xm:f>
            <x14:dxf>
              <font>
                <color theme="0"/>
              </font>
              <fill>
                <patternFill patternType="lightHorizontal">
                  <bgColor rgb="FFFF0000"/>
                </patternFill>
              </fill>
            </x14:dxf>
          </x14:cfRule>
          <xm:sqref>F8</xm:sqref>
        </x14:conditionalFormatting>
        <x14:conditionalFormatting xmlns:xm="http://schemas.microsoft.com/office/excel/2006/main">
          <x14:cfRule type="expression" priority="4" id="{E60C148D-B8C6-4401-8F0E-F2E12463801D}">
            <xm:f>NOT(Config!$R$7)</xm:f>
            <x14:dxf>
              <font>
                <color theme="0"/>
              </font>
              <fill>
                <patternFill patternType="lightHorizontal">
                  <bgColor rgb="FFFF0000"/>
                </patternFill>
              </fill>
            </x14:dxf>
          </x14:cfRule>
          <xm:sqref>M8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A70BC-0081-4B69-B653-09CE6316F68E}">
  <sheetPr codeName="Tabelle2"/>
  <dimension ref="A1:S23"/>
  <sheetViews>
    <sheetView showGridLines="0" topLeftCell="F1" workbookViewId="0">
      <selection activeCell="F16" sqref="F16"/>
    </sheetView>
  </sheetViews>
  <sheetFormatPr baseColWidth="10" defaultColWidth="11.453125" defaultRowHeight="14.5" x14ac:dyDescent="0.35"/>
  <cols>
    <col min="2" max="2" width="19.26953125" customWidth="1"/>
    <col min="3" max="3" width="11.453125" customWidth="1"/>
    <col min="5" max="5" width="30.1796875" customWidth="1"/>
    <col min="6" max="6" width="23" bestFit="1" customWidth="1"/>
    <col min="9" max="9" width="20" bestFit="1" customWidth="1"/>
    <col min="10" max="10" width="19.1796875" bestFit="1" customWidth="1"/>
    <col min="11" max="11" width="7.453125" bestFit="1" customWidth="1"/>
    <col min="12" max="12" width="22" bestFit="1" customWidth="1"/>
    <col min="13" max="13" width="7.453125" bestFit="1" customWidth="1"/>
    <col min="14" max="14" width="14.1796875" bestFit="1" customWidth="1"/>
    <col min="15" max="15" width="16.1796875" bestFit="1" customWidth="1"/>
    <col min="16" max="16" width="7.453125" bestFit="1" customWidth="1"/>
    <col min="17" max="17" width="6.7265625" bestFit="1" customWidth="1"/>
    <col min="18" max="18" width="7.453125" bestFit="1" customWidth="1"/>
    <col min="19" max="19" width="23.1796875" bestFit="1" customWidth="1"/>
  </cols>
  <sheetData>
    <row r="1" spans="1:19" ht="21" thickTop="1" thickBot="1" x14ac:dyDescent="0.4">
      <c r="A1" s="137" t="s">
        <v>40</v>
      </c>
      <c r="B1" s="138"/>
      <c r="C1" s="138"/>
      <c r="D1" s="139"/>
      <c r="E1" s="140" t="s">
        <v>85</v>
      </c>
      <c r="F1" s="141"/>
      <c r="G1" s="141"/>
      <c r="H1" s="141"/>
      <c r="I1" s="142"/>
      <c r="J1" s="143" t="s">
        <v>41</v>
      </c>
      <c r="K1" s="144"/>
      <c r="L1" s="144"/>
      <c r="M1" s="144"/>
      <c r="N1" s="144"/>
    </row>
    <row r="2" spans="1:19" x14ac:dyDescent="0.35">
      <c r="A2">
        <v>2</v>
      </c>
      <c r="E2" s="2" t="s">
        <v>42</v>
      </c>
      <c r="F2" s="112">
        <v>75</v>
      </c>
      <c r="G2" s="3"/>
      <c r="H2" s="3"/>
      <c r="I2" s="4"/>
      <c r="J2" s="5" t="s">
        <v>37</v>
      </c>
      <c r="K2" s="6" t="b">
        <f>IF(J2=C9,TRUE,FALSE)</f>
        <v>1</v>
      </c>
      <c r="L2" s="7" t="s">
        <v>37</v>
      </c>
      <c r="M2" s="6" t="b">
        <f>IF(L2=C15,TRUE,FALSE)</f>
        <v>1</v>
      </c>
      <c r="N2" s="8"/>
      <c r="O2" s="134" t="s">
        <v>43</v>
      </c>
      <c r="Q2" s="38"/>
      <c r="R2" s="39"/>
      <c r="S2" s="40"/>
    </row>
    <row r="3" spans="1:19" ht="15" thickBot="1" x14ac:dyDescent="0.4">
      <c r="A3" s="10"/>
      <c r="D3" s="11"/>
      <c r="E3" s="10" t="s">
        <v>44</v>
      </c>
      <c r="F3" t="s">
        <v>45</v>
      </c>
      <c r="G3" s="112">
        <v>2.8</v>
      </c>
      <c r="H3" t="s">
        <v>46</v>
      </c>
      <c r="I3" s="113">
        <v>4.1500000000000004</v>
      </c>
      <c r="J3" s="12" t="s">
        <v>47</v>
      </c>
      <c r="K3" s="13" t="b">
        <f>OR('Simulation Matrix'!$F$8&lt;Config!$G$3,'Simulation Matrix'!$F$8&gt;Config!$I$3)</f>
        <v>0</v>
      </c>
      <c r="L3" s="14" t="s">
        <v>48</v>
      </c>
      <c r="M3" s="13" t="b">
        <f>OR('Simulation Matrix'!$M$8&lt;Config!$G$3,'Simulation Matrix'!$M$8&gt;Config!$I$3)</f>
        <v>0</v>
      </c>
      <c r="N3" s="15"/>
      <c r="O3" s="135"/>
      <c r="Q3" s="41"/>
      <c r="S3" s="42"/>
    </row>
    <row r="4" spans="1:19" ht="15.5" thickTop="1" thickBot="1" x14ac:dyDescent="0.4">
      <c r="D4" s="11"/>
      <c r="E4" s="10" t="s">
        <v>49</v>
      </c>
      <c r="F4" t="s">
        <v>45</v>
      </c>
      <c r="G4" s="112">
        <v>97.5</v>
      </c>
      <c r="H4" t="s">
        <v>46</v>
      </c>
      <c r="I4">
        <v>0</v>
      </c>
      <c r="J4" s="17" t="s">
        <v>50</v>
      </c>
      <c r="K4" s="18" t="b">
        <f>IF(AND(K2,NOT(K3)),TRUE,FALSE)</f>
        <v>1</v>
      </c>
      <c r="L4" s="19"/>
      <c r="M4" s="20" t="b">
        <f>IF(AND(M2,NOT(M3)),TRUE,FALSE)</f>
        <v>1</v>
      </c>
      <c r="N4" s="21"/>
      <c r="O4" s="136"/>
      <c r="Q4" s="41"/>
      <c r="S4" s="42"/>
    </row>
    <row r="5" spans="1:19" ht="15" thickBot="1" x14ac:dyDescent="0.4">
      <c r="A5" s="10"/>
      <c r="C5" s="2"/>
      <c r="D5" s="11"/>
      <c r="E5" s="10" t="s">
        <v>51</v>
      </c>
      <c r="F5" t="s">
        <v>45</v>
      </c>
      <c r="G5" s="112">
        <v>165</v>
      </c>
      <c r="I5" s="11">
        <v>0</v>
      </c>
      <c r="Q5" s="41" t="s">
        <v>52</v>
      </c>
      <c r="R5" t="s">
        <v>53</v>
      </c>
      <c r="S5" s="42"/>
    </row>
    <row r="6" spans="1:19" x14ac:dyDescent="0.35">
      <c r="A6" s="10"/>
      <c r="D6" s="11"/>
      <c r="E6" s="10" t="s">
        <v>8</v>
      </c>
      <c r="F6" t="s">
        <v>45</v>
      </c>
      <c r="G6" s="112">
        <v>10</v>
      </c>
      <c r="H6" t="s">
        <v>46</v>
      </c>
      <c r="I6" s="113">
        <v>40</v>
      </c>
      <c r="J6" s="9" t="s">
        <v>35</v>
      </c>
      <c r="K6" s="6" t="b">
        <f>IF(J6=C9,TRUE,FALSE)</f>
        <v>0</v>
      </c>
      <c r="L6" s="7" t="s">
        <v>35</v>
      </c>
      <c r="M6" s="6" t="b">
        <f>IF(L6=C15,TRUE,FALSE)</f>
        <v>0</v>
      </c>
      <c r="N6" s="8"/>
      <c r="O6" s="134" t="s">
        <v>54</v>
      </c>
      <c r="Q6" s="41"/>
      <c r="R6" s="1" t="b">
        <f>OR(K4,K8)</f>
        <v>1</v>
      </c>
      <c r="S6" s="47" t="s">
        <v>55</v>
      </c>
    </row>
    <row r="7" spans="1:19" ht="15" thickBot="1" x14ac:dyDescent="0.4">
      <c r="A7" s="10" t="s">
        <v>56</v>
      </c>
      <c r="D7" s="11"/>
      <c r="E7" s="10" t="s">
        <v>97</v>
      </c>
      <c r="F7" t="s">
        <v>45</v>
      </c>
      <c r="G7" s="112">
        <v>0.8</v>
      </c>
      <c r="H7" t="s">
        <v>46</v>
      </c>
      <c r="I7" s="113">
        <v>1</v>
      </c>
      <c r="J7" s="16" t="s">
        <v>57</v>
      </c>
      <c r="K7" s="13" t="b">
        <f>OR('Simulation Matrix'!$F$8&lt;0,'Simulation Matrix'!$F$8&gt;1)</f>
        <v>1</v>
      </c>
      <c r="L7" s="14" t="s">
        <v>58</v>
      </c>
      <c r="M7" s="13" t="b">
        <f>OR('Simulation Matrix'!$M$8&lt;0,'Simulation Matrix'!$M$8&gt;1)</f>
        <v>1</v>
      </c>
      <c r="N7" s="15"/>
      <c r="O7" s="135"/>
      <c r="Q7" s="41"/>
      <c r="R7" s="1" t="b">
        <f>OR(M4,M8)</f>
        <v>1</v>
      </c>
      <c r="S7" s="47" t="s">
        <v>59</v>
      </c>
    </row>
    <row r="8" spans="1:19" ht="15.5" thickTop="1" thickBot="1" x14ac:dyDescent="0.4">
      <c r="A8" s="23">
        <v>1</v>
      </c>
      <c r="B8" s="2" t="s">
        <v>20</v>
      </c>
      <c r="C8" s="1" t="str" cm="1">
        <f t="array" ref="C8">INDEX($D$8:$D$9,A8)</f>
        <v>Current / A</v>
      </c>
      <c r="D8" s="24" t="s">
        <v>34</v>
      </c>
      <c r="E8" s="10" t="s">
        <v>33</v>
      </c>
      <c r="F8" t="s">
        <v>60</v>
      </c>
      <c r="G8">
        <v>0</v>
      </c>
      <c r="I8" s="11"/>
      <c r="J8" s="19" t="s">
        <v>50</v>
      </c>
      <c r="K8" s="20" t="b">
        <f>IF(AND(K6,NOT(K7)),TRUE,FALSE)</f>
        <v>0</v>
      </c>
      <c r="L8" s="19"/>
      <c r="M8" s="20" t="b">
        <f>IF(AND(M6,NOT(M7)),TRUE,FALSE)</f>
        <v>0</v>
      </c>
      <c r="N8" s="21"/>
      <c r="O8" s="136"/>
      <c r="Q8" s="41"/>
      <c r="S8" s="47"/>
    </row>
    <row r="9" spans="1:19" ht="15" thickBot="1" x14ac:dyDescent="0.4">
      <c r="A9" s="23">
        <v>1</v>
      </c>
      <c r="B9" s="2" t="s">
        <v>61</v>
      </c>
      <c r="C9" s="1" t="str" cm="1">
        <f t="array" ref="C9">INDEX($D$10:$D$11,A9)</f>
        <v>Voltage / V</v>
      </c>
      <c r="D9" s="24" t="s">
        <v>36</v>
      </c>
      <c r="E9" s="10" t="s">
        <v>38</v>
      </c>
      <c r="F9" t="s">
        <v>60</v>
      </c>
      <c r="G9">
        <v>0</v>
      </c>
      <c r="I9" s="11"/>
      <c r="Q9" s="41"/>
      <c r="R9" s="1" t="b">
        <f>AND(K12,'Simulation Matrix'!C11&gt;=0)</f>
        <v>1</v>
      </c>
      <c r="S9" s="47" t="s">
        <v>62</v>
      </c>
    </row>
    <row r="10" spans="1:19" x14ac:dyDescent="0.35">
      <c r="A10" s="23" t="b">
        <v>0</v>
      </c>
      <c r="B10" s="2" t="s">
        <v>63</v>
      </c>
      <c r="C10" s="1" t="str">
        <f>IF(A10,"on","off")</f>
        <v>off</v>
      </c>
      <c r="D10" s="24" t="s">
        <v>37</v>
      </c>
      <c r="E10" s="10" t="s">
        <v>64</v>
      </c>
      <c r="I10" s="11"/>
      <c r="J10" s="7" t="s">
        <v>33</v>
      </c>
      <c r="K10" s="6" t="b">
        <f>IF(J10=$C$20,TRUE,FALSE)</f>
        <v>1</v>
      </c>
      <c r="L10" s="7" t="s">
        <v>38</v>
      </c>
      <c r="M10" s="22" t="b">
        <f>IF(L10=$C$20,TRUE,FALSE)</f>
        <v>0</v>
      </c>
      <c r="N10" s="22"/>
      <c r="O10" s="134" t="s">
        <v>65</v>
      </c>
      <c r="Q10" s="41"/>
      <c r="R10" s="1" t="b">
        <f>AND(M11,'Simulation Matrix'!C11&gt;=G7,'Simulation Matrix'!C11&lt;=I7)</f>
        <v>0</v>
      </c>
      <c r="S10" s="47" t="s">
        <v>66</v>
      </c>
    </row>
    <row r="11" spans="1:19" ht="15" thickBot="1" x14ac:dyDescent="0.4">
      <c r="A11" s="32"/>
      <c r="C11" s="1" t="str">
        <f>IF(AND(A10,C9="Voltage / V"),"on","off")</f>
        <v>off</v>
      </c>
      <c r="D11" s="24" t="s">
        <v>35</v>
      </c>
      <c r="E11" s="10" t="s">
        <v>67</v>
      </c>
      <c r="F11" t="s">
        <v>68</v>
      </c>
      <c r="G11">
        <v>0</v>
      </c>
      <c r="I11" s="11"/>
      <c r="J11" s="25" t="s">
        <v>64</v>
      </c>
      <c r="K11" s="26" t="b">
        <f>IF(J11=$C$20,TRUE,FALSE)</f>
        <v>0</v>
      </c>
      <c r="L11" s="25" t="s">
        <v>69</v>
      </c>
      <c r="M11" s="27" t="b">
        <f>IF(L11=$C$20,TRUE,FALSE)</f>
        <v>0</v>
      </c>
      <c r="N11" s="27"/>
      <c r="O11" s="135"/>
      <c r="Q11" s="41"/>
      <c r="S11" s="42"/>
    </row>
    <row r="12" spans="1:19" ht="15.5" thickTop="1" thickBot="1" x14ac:dyDescent="0.4">
      <c r="A12" s="32"/>
      <c r="D12" s="11"/>
      <c r="E12" s="10" t="s">
        <v>70</v>
      </c>
      <c r="F12" t="s">
        <v>68</v>
      </c>
      <c r="G12">
        <v>0</v>
      </c>
      <c r="I12" s="11"/>
      <c r="J12" s="28" t="s">
        <v>71</v>
      </c>
      <c r="K12" s="29" t="b">
        <f>OR(K10,M10,K11)</f>
        <v>1</v>
      </c>
      <c r="L12" s="30"/>
      <c r="M12" s="31"/>
      <c r="N12" s="31"/>
      <c r="O12" s="136"/>
      <c r="Q12" s="43"/>
      <c r="R12" s="44"/>
      <c r="S12" s="46"/>
    </row>
    <row r="13" spans="1:19" ht="15" thickBot="1" x14ac:dyDescent="0.4">
      <c r="A13" s="10" t="s">
        <v>5</v>
      </c>
      <c r="D13" s="11"/>
      <c r="E13" s="10" t="s">
        <v>53</v>
      </c>
      <c r="F13" t="s">
        <v>72</v>
      </c>
      <c r="G13" t="s">
        <v>73</v>
      </c>
      <c r="I13" s="11"/>
      <c r="J13" t="s">
        <v>4</v>
      </c>
    </row>
    <row r="14" spans="1:19" x14ac:dyDescent="0.35">
      <c r="A14" s="23">
        <v>1</v>
      </c>
      <c r="B14" s="2" t="s">
        <v>20</v>
      </c>
      <c r="C14" s="1" t="str" cm="1">
        <f t="array" ref="C14">INDEX($D$8:$D$9,A14)</f>
        <v>Current / A</v>
      </c>
      <c r="D14" s="11"/>
      <c r="E14" s="10" t="s">
        <v>52</v>
      </c>
      <c r="J14" s="5" t="s">
        <v>34</v>
      </c>
      <c r="K14" s="6" t="b">
        <f>IF(J14=C8,TRUE,FALSE)</f>
        <v>1</v>
      </c>
      <c r="L14" s="7" t="s">
        <v>36</v>
      </c>
      <c r="M14" s="6" t="b">
        <f>IF(L14=C8,TRUE,FALSE)</f>
        <v>0</v>
      </c>
      <c r="N14" s="6"/>
      <c r="O14" s="134" t="s">
        <v>74</v>
      </c>
      <c r="P14" s="39"/>
      <c r="Q14" s="39"/>
      <c r="R14" s="39"/>
      <c r="S14" s="40"/>
    </row>
    <row r="15" spans="1:19" ht="15" thickBot="1" x14ac:dyDescent="0.4">
      <c r="A15" s="23">
        <v>1</v>
      </c>
      <c r="B15" s="2" t="s">
        <v>61</v>
      </c>
      <c r="C15" s="1" t="str" cm="1">
        <f t="array" ref="C15">INDEX($D$10:$D$11,A15)</f>
        <v>Voltage / V</v>
      </c>
      <c r="D15" s="11"/>
      <c r="E15" s="10" t="s">
        <v>75</v>
      </c>
      <c r="F15" s="112">
        <v>404.62500000000006</v>
      </c>
      <c r="I15" s="11"/>
      <c r="J15" s="12" t="s">
        <v>76</v>
      </c>
      <c r="K15" s="13" t="b">
        <f>NOT(OR('Simulation Matrix'!$F$5&lt;Config!$I$4,'Simulation Matrix'!$F$5&gt;Config!$G$4))</f>
        <v>1</v>
      </c>
      <c r="L15" s="14" t="s">
        <v>77</v>
      </c>
      <c r="M15" s="13" t="b">
        <f>NOT(OR('Simulation Matrix'!$F$5&lt;Config!$I$4,'Simulation Matrix'!$F$5&gt;Config!$F$15))</f>
        <v>1</v>
      </c>
      <c r="N15" s="13"/>
      <c r="O15" s="135"/>
      <c r="S15" s="42"/>
    </row>
    <row r="16" spans="1:19" ht="15.5" thickTop="1" thickBot="1" x14ac:dyDescent="0.4">
      <c r="A16" s="23" t="b">
        <v>0</v>
      </c>
      <c r="B16" s="2" t="s">
        <v>63</v>
      </c>
      <c r="C16" s="1" t="str">
        <f>IF(A16,"on","off")</f>
        <v>off</v>
      </c>
      <c r="D16" s="11"/>
      <c r="E16" s="10" t="s">
        <v>78</v>
      </c>
      <c r="F16" s="112">
        <v>684.75000000000011</v>
      </c>
      <c r="I16" s="11"/>
      <c r="J16" s="17" t="s">
        <v>79</v>
      </c>
      <c r="K16" s="20" t="b">
        <f>IF(AND(K14,K15),TRUE,FALSE)</f>
        <v>1</v>
      </c>
      <c r="L16" s="19"/>
      <c r="M16" s="20" t="b">
        <f>IF(AND(M14,M15),TRUE,FALSE)</f>
        <v>0</v>
      </c>
      <c r="N16" s="20"/>
      <c r="O16" s="136"/>
      <c r="P16" s="44"/>
      <c r="Q16" s="44"/>
      <c r="R16" s="45" t="str">
        <f>IF(OR(K16,M16),"TRUE","FALSE")</f>
        <v>TRUE</v>
      </c>
      <c r="S16" s="46" t="s">
        <v>80</v>
      </c>
    </row>
    <row r="17" spans="1:19" ht="15" thickBot="1" x14ac:dyDescent="0.4">
      <c r="A17" s="32"/>
      <c r="C17" s="1" t="str">
        <f>IF(AND(A16,C15="Voltage / V"),"on","off")</f>
        <v>off</v>
      </c>
      <c r="D17" s="11"/>
      <c r="E17" s="10"/>
      <c r="I17" s="11"/>
      <c r="J17" t="s">
        <v>5</v>
      </c>
    </row>
    <row r="18" spans="1:19" ht="15" thickBot="1" x14ac:dyDescent="0.4">
      <c r="A18" s="32"/>
      <c r="D18" s="11"/>
      <c r="E18" s="33"/>
      <c r="I18" s="11"/>
      <c r="J18" s="5" t="s">
        <v>34</v>
      </c>
      <c r="K18" s="6" t="b">
        <f>IF(J18=C14,TRUE,FALSE)</f>
        <v>1</v>
      </c>
      <c r="L18" s="7" t="s">
        <v>36</v>
      </c>
      <c r="M18" s="6" t="b">
        <f>IF(L18=C14,TRUE,FALSE)</f>
        <v>0</v>
      </c>
      <c r="N18" s="6"/>
      <c r="O18" s="134" t="s">
        <v>81</v>
      </c>
      <c r="P18" s="39"/>
      <c r="Q18" s="39"/>
      <c r="R18" s="39"/>
      <c r="S18" s="40"/>
    </row>
    <row r="19" spans="1:19" ht="15" thickBot="1" x14ac:dyDescent="0.4">
      <c r="A19" s="10" t="s">
        <v>82</v>
      </c>
      <c r="D19" s="11"/>
      <c r="E19" s="32"/>
      <c r="I19" s="11"/>
      <c r="J19" s="12" t="s">
        <v>76</v>
      </c>
      <c r="K19" s="13" t="b">
        <f>NOT(OR('Simulation Matrix'!$M$5&lt;Config!$I$5,'Simulation Matrix'!$M$5&gt;Config!$G$5))</f>
        <v>1</v>
      </c>
      <c r="L19" s="14" t="s">
        <v>77</v>
      </c>
      <c r="M19" s="13" t="b">
        <f>NOT(OR('Simulation Matrix'!$M$5&lt;Config!$I$4,'Simulation Matrix'!$M$5&gt;Config!$F$16))</f>
        <v>1</v>
      </c>
      <c r="N19" s="13"/>
      <c r="O19" s="135"/>
      <c r="S19" s="42"/>
    </row>
    <row r="20" spans="1:19" ht="15.5" thickTop="1" thickBot="1" x14ac:dyDescent="0.4">
      <c r="A20" s="23">
        <v>1</v>
      </c>
      <c r="B20" s="2" t="s">
        <v>83</v>
      </c>
      <c r="C20" s="1" t="str" cm="1">
        <f t="array" ref="C20">INDEX(D20:D23,A20)</f>
        <v>EFC / -</v>
      </c>
      <c r="D20" s="24" t="s">
        <v>33</v>
      </c>
      <c r="E20" s="32"/>
      <c r="I20" s="11"/>
      <c r="J20" s="17" t="s">
        <v>79</v>
      </c>
      <c r="K20" s="20" t="b">
        <f>IF(AND(K18,K19),TRUE,FALSE)</f>
        <v>1</v>
      </c>
      <c r="L20" s="19"/>
      <c r="M20" s="20" t="b">
        <f>IF(AND(M18,M19),TRUE,FALSE)</f>
        <v>0</v>
      </c>
      <c r="N20" s="20"/>
      <c r="O20" s="136"/>
      <c r="P20" s="44"/>
      <c r="Q20" s="44"/>
      <c r="R20" s="45" t="str">
        <f>IF(OR(K20,M20),"TRUE","FALSE")</f>
        <v>TRUE</v>
      </c>
      <c r="S20" s="46" t="s">
        <v>84</v>
      </c>
    </row>
    <row r="21" spans="1:19" x14ac:dyDescent="0.35">
      <c r="A21" s="32"/>
      <c r="D21" s="24" t="s">
        <v>64</v>
      </c>
      <c r="E21" s="32"/>
      <c r="I21" s="11"/>
    </row>
    <row r="22" spans="1:19" x14ac:dyDescent="0.35">
      <c r="A22" s="32"/>
      <c r="D22" s="24" t="s">
        <v>38</v>
      </c>
      <c r="E22" s="32"/>
      <c r="I22" s="11"/>
    </row>
    <row r="23" spans="1:19" x14ac:dyDescent="0.35">
      <c r="A23" s="34"/>
      <c r="B23" s="35"/>
      <c r="C23" s="35"/>
      <c r="D23" s="36" t="s">
        <v>69</v>
      </c>
      <c r="E23" s="34"/>
      <c r="F23" s="35"/>
      <c r="G23" s="35"/>
      <c r="H23" s="35"/>
      <c r="I23" s="37"/>
    </row>
  </sheetData>
  <mergeCells count="8">
    <mergeCell ref="O6:O8"/>
    <mergeCell ref="O10:O12"/>
    <mergeCell ref="O14:O16"/>
    <mergeCell ref="O18:O20"/>
    <mergeCell ref="A1:D1"/>
    <mergeCell ref="E1:I1"/>
    <mergeCell ref="J1:N1"/>
    <mergeCell ref="O2:O4"/>
  </mergeCells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40656E0BBDFF4081E15EEF10AAFF19" ma:contentTypeVersion="15" ma:contentTypeDescription="Create a new document." ma:contentTypeScope="" ma:versionID="7eae5454aa0a1a4a932db0b14386186f">
  <xsd:schema xmlns:xsd="http://www.w3.org/2001/XMLSchema" xmlns:xs="http://www.w3.org/2001/XMLSchema" xmlns:p="http://schemas.microsoft.com/office/2006/metadata/properties" xmlns:ns2="9aac119f-7f0e-49e3-8740-be34c87c8b59" xmlns:ns3="edd0edf1-342c-49a5-9129-c001468672ea" targetNamespace="http://schemas.microsoft.com/office/2006/metadata/properties" ma:root="true" ma:fieldsID="4a9b165e56b4ce9073f9407caf44854c" ns2:_="" ns3:_="">
    <xsd:import namespace="9aac119f-7f0e-49e3-8740-be34c87c8b59"/>
    <xsd:import namespace="edd0edf1-342c-49a5-9129-c001468672e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ac119f-7f0e-49e3-8740-be34c87c8b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4d8a8433-df87-4d8c-986f-1f00980a1f9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d0edf1-342c-49a5-9129-c001468672ea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77248693-f3b2-436d-abee-7d72f988643b}" ma:internalName="TaxCatchAll" ma:showField="CatchAllData" ma:web="edd0edf1-342c-49a5-9129-c001468672e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dd0edf1-342c-49a5-9129-c001468672ea" xsi:nil="true"/>
    <lcf76f155ced4ddcb4097134ff3c332f xmlns="9aac119f-7f0e-49e3-8740-be34c87c8b59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DAEF55A-7042-4BC6-9387-6C27A56F1B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ac119f-7f0e-49e3-8740-be34c87c8b59"/>
    <ds:schemaRef ds:uri="edd0edf1-342c-49a5-9129-c001468672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562358-103B-4F33-84EF-4E3C63E63EC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AB9C8E-8556-4152-8CFB-17FDA5A5A49E}">
  <ds:schemaRefs>
    <ds:schemaRef ds:uri="http://schemas.microsoft.com/office/2006/metadata/properties"/>
    <ds:schemaRef ds:uri="http://schemas.microsoft.com/office/infopath/2007/PartnerControls"/>
    <ds:schemaRef ds:uri="edd0edf1-342c-49a5-9129-c001468672ea"/>
    <ds:schemaRef ds:uri="9aac119f-7f0e-49e3-8740-be34c87c8b5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Simulation Matrix</vt:lpstr>
      <vt:lpstr>Config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Deniz Ayguel</dc:creator>
  <cp:keywords/>
  <dc:description/>
  <cp:lastModifiedBy>Anika Halder</cp:lastModifiedBy>
  <cp:revision/>
  <dcterms:created xsi:type="dcterms:W3CDTF">2022-07-28T09:53:26Z</dcterms:created>
  <dcterms:modified xsi:type="dcterms:W3CDTF">2023-11-28T10:24:37Z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0x0101006140656E0BBDFF4081E15EEF10AAFF19</vt:lpwstr>
  </property>
  <property fmtid="{D5CDD505-2E9C-101B-9397-08002B2CF9AE}" pid="3" name="MediaServiceImageTags">
    <vt:lpwstr/>
  </property>
</Properties>
</file>